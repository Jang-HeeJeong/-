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https://d.docs.live.net/6c35c440a1e7923b/문서/클로드 코워크 테스트/표제기/"/>
    </mc:Choice>
  </mc:AlternateContent>
  <xr:revisionPtr revIDLastSave="3" documentId="14_{A8F660E9-E074-476B-8310-15BC25909714}" xr6:coauthVersionLast="47" xr6:coauthVersionMax="47" xr10:uidLastSave="{33BE8192-5EF2-4C8E-A9C3-D84A50E723FC}"/>
  <bookViews>
    <workbookView xWindow="-120" yWindow="-120" windowWidth="29040" windowHeight="15720" firstSheet="1" activeTab="1" xr2:uid="{00000000-000D-0000-FFFF-FFFF00000000}"/>
  </bookViews>
  <sheets>
    <sheet name="기본" sheetId="1" state="hidden" r:id="rId1"/>
    <sheet name="진통제(확인완료)" sheetId="8" r:id="rId2"/>
    <sheet name="감기약(확인완료)" sheetId="7" r:id="rId3"/>
    <sheet name="진해거담제" sheetId="20" r:id="rId4"/>
    <sheet name="비염용경구제(확인완료)" sheetId="19" r:id="rId5"/>
  </sheets>
  <calcPr calcId="191029"/>
</workbook>
</file>

<file path=xl/calcChain.xml><?xml version="1.0" encoding="utf-8"?>
<calcChain xmlns="http://schemas.openxmlformats.org/spreadsheetml/2006/main">
  <c r="J44" i="7" l="1"/>
  <c r="AL10" i="19"/>
  <c r="AM10" i="19"/>
  <c r="AL23" i="19"/>
  <c r="AM23" i="19"/>
  <c r="AL24" i="19"/>
  <c r="AM24" i="19"/>
  <c r="AL25" i="19"/>
  <c r="AM25" i="19"/>
  <c r="AL26" i="19"/>
  <c r="AM26" i="19"/>
  <c r="W10" i="19"/>
  <c r="X10" i="19"/>
  <c r="W23" i="19"/>
  <c r="X23" i="19"/>
  <c r="W24" i="19"/>
  <c r="X24" i="19"/>
  <c r="W25" i="19"/>
  <c r="X25" i="19"/>
  <c r="W26" i="19"/>
  <c r="X26" i="19"/>
  <c r="C9" i="7"/>
  <c r="J41" i="7"/>
  <c r="J43" i="7" l="1"/>
  <c r="F26" i="19"/>
  <c r="F25" i="19"/>
  <c r="L32" i="19"/>
  <c r="L31" i="19"/>
  <c r="L30" i="19"/>
  <c r="L29" i="19"/>
  <c r="L37" i="20"/>
  <c r="AC28" i="7" l="1"/>
  <c r="AC32" i="7"/>
  <c r="AC33" i="7"/>
  <c r="AC34" i="7"/>
  <c r="P28" i="7"/>
  <c r="P32" i="7"/>
  <c r="P33" i="7"/>
  <c r="P34" i="7"/>
  <c r="AH10" i="8"/>
  <c r="AJ10" i="8"/>
  <c r="AH11" i="8"/>
  <c r="AJ11" i="8"/>
  <c r="AH12" i="8"/>
  <c r="AJ12" i="8"/>
  <c r="AH13" i="8"/>
  <c r="AJ13" i="8"/>
  <c r="AH14" i="8"/>
  <c r="AJ14" i="8"/>
  <c r="AH15" i="8"/>
  <c r="AJ15" i="8"/>
  <c r="AI16" i="8"/>
  <c r="AJ16" i="8"/>
  <c r="AI17" i="8"/>
  <c r="AJ17" i="8"/>
  <c r="AI18" i="8"/>
  <c r="AJ18" i="8"/>
  <c r="AJ19" i="8"/>
  <c r="AJ20" i="8"/>
  <c r="AJ21" i="8"/>
  <c r="AJ22" i="8"/>
  <c r="AJ23" i="8"/>
  <c r="AJ24" i="8"/>
  <c r="AJ25" i="8"/>
  <c r="AJ26" i="8"/>
  <c r="AD11" i="7"/>
  <c r="Q11" i="7"/>
  <c r="J40" i="7"/>
  <c r="J46" i="7"/>
  <c r="J42" i="7"/>
  <c r="J48" i="7" l="1"/>
  <c r="C36" i="7"/>
  <c r="C35" i="7"/>
  <c r="P35" i="7" l="1"/>
  <c r="AC35" i="7"/>
  <c r="AC36" i="7"/>
  <c r="P36" i="7"/>
  <c r="L13" i="8"/>
  <c r="L17" i="8"/>
  <c r="L18" i="8"/>
  <c r="L19" i="8"/>
  <c r="L20" i="8"/>
  <c r="AF11" i="8" l="1"/>
  <c r="AF12" i="8"/>
  <c r="AF13" i="8"/>
  <c r="AF14" i="8"/>
  <c r="AF15" i="8"/>
  <c r="AF16" i="8"/>
  <c r="AF17" i="8"/>
  <c r="AF18" i="8"/>
  <c r="AF19" i="8"/>
  <c r="AF20" i="8"/>
  <c r="AF21" i="8"/>
  <c r="AF22" i="8"/>
  <c r="AF23" i="8"/>
  <c r="AF24" i="8"/>
  <c r="AF25" i="8"/>
  <c r="AF26" i="8"/>
  <c r="AF10" i="8"/>
  <c r="Q11" i="8"/>
  <c r="Q12" i="8"/>
  <c r="Q13" i="8"/>
  <c r="Q14" i="8"/>
  <c r="Q15" i="8"/>
  <c r="Q16" i="8"/>
  <c r="Q17" i="8"/>
  <c r="Q18" i="8"/>
  <c r="Q19" i="8"/>
  <c r="Q20" i="8"/>
  <c r="Q21" i="8"/>
  <c r="Q22" i="8"/>
  <c r="Q10" i="8"/>
  <c r="Q24" i="8"/>
  <c r="Q25" i="8"/>
  <c r="Q26" i="8"/>
  <c r="Q23" i="8"/>
  <c r="V12" i="8"/>
  <c r="V13" i="8"/>
  <c r="AA13" i="8" s="1"/>
  <c r="V14" i="8"/>
  <c r="V15" i="8"/>
  <c r="L33" i="8"/>
  <c r="L31" i="8"/>
  <c r="L30" i="8"/>
  <c r="L29" i="8"/>
  <c r="K26" i="8" l="1"/>
  <c r="AK25" i="8"/>
  <c r="AK26" i="8"/>
  <c r="V26" i="8"/>
  <c r="U26" i="8"/>
  <c r="J26" i="8"/>
  <c r="E26" i="8"/>
  <c r="V25" i="8"/>
  <c r="Z25" i="8" s="1"/>
  <c r="U25" i="8"/>
  <c r="K25" i="8"/>
  <c r="J25" i="8"/>
  <c r="L25" i="8" s="1"/>
  <c r="H25" i="8"/>
  <c r="E25" i="8"/>
  <c r="AI26" i="8" l="1"/>
  <c r="T26" i="8"/>
  <c r="AI25" i="8"/>
  <c r="T25" i="8"/>
  <c r="AN26" i="8"/>
  <c r="L26" i="8"/>
  <c r="H26" i="8"/>
  <c r="I26" i="8"/>
  <c r="AO26" i="8"/>
  <c r="AM25" i="8"/>
  <c r="AO25" i="8"/>
  <c r="AN25" i="8"/>
  <c r="I25" i="8"/>
  <c r="X25" i="8"/>
  <c r="AL26" i="8"/>
  <c r="Y25" i="8"/>
  <c r="AA25" i="8" s="1"/>
  <c r="AL25" i="8"/>
  <c r="Z26" i="8"/>
  <c r="AM26" i="8"/>
  <c r="W26" i="8"/>
  <c r="W25" i="8"/>
  <c r="X26" i="8"/>
  <c r="Y26" i="8"/>
  <c r="AP26" i="8" l="1"/>
  <c r="AP25" i="8"/>
  <c r="AA26" i="8"/>
  <c r="H24" i="8"/>
  <c r="V23" i="8"/>
  <c r="E24" i="8"/>
  <c r="E23" i="8"/>
  <c r="U24" i="8"/>
  <c r="U23" i="8"/>
  <c r="G9" i="7"/>
  <c r="I9" i="7" s="1"/>
  <c r="J37" i="7"/>
  <c r="F36" i="7"/>
  <c r="H36" i="7" s="1"/>
  <c r="G36" i="7"/>
  <c r="I36" i="7" s="1"/>
  <c r="F37" i="7"/>
  <c r="G37" i="7"/>
  <c r="H37" i="7"/>
  <c r="I37" i="7"/>
  <c r="R36" i="7"/>
  <c r="S36" i="7" s="1"/>
  <c r="U36" i="7" s="1"/>
  <c r="Q36" i="7"/>
  <c r="AD36" i="7"/>
  <c r="AI23" i="8" l="1"/>
  <c r="T23" i="8"/>
  <c r="AI24" i="8"/>
  <c r="T24" i="8"/>
  <c r="J47" i="7"/>
  <c r="J49" i="7"/>
  <c r="J36" i="7"/>
  <c r="V24" i="8"/>
  <c r="X24" i="8" s="1"/>
  <c r="K24" i="8"/>
  <c r="X23" i="8"/>
  <c r="W23" i="8"/>
  <c r="I23" i="8"/>
  <c r="AK23" i="8"/>
  <c r="H23" i="8"/>
  <c r="J23" i="8"/>
  <c r="L23" i="8" s="1"/>
  <c r="J24" i="8"/>
  <c r="AK24" i="8"/>
  <c r="I24" i="8"/>
  <c r="K23" i="8"/>
  <c r="Y23" i="8"/>
  <c r="Z23" i="8"/>
  <c r="Y24" i="8"/>
  <c r="AE36" i="7"/>
  <c r="T36" i="7"/>
  <c r="V36" i="7" s="1"/>
  <c r="W36" i="7" s="1"/>
  <c r="AD35" i="7"/>
  <c r="Q35" i="7"/>
  <c r="AA23" i="8" l="1"/>
  <c r="L24" i="8"/>
  <c r="AO23" i="8"/>
  <c r="AO24" i="8"/>
  <c r="W24" i="8"/>
  <c r="Z24" i="8"/>
  <c r="AA24" i="8" s="1"/>
  <c r="AN23" i="8"/>
  <c r="AL23" i="8"/>
  <c r="AM23" i="8"/>
  <c r="AN24" i="8"/>
  <c r="AP24" i="8" s="1"/>
  <c r="AL24" i="8"/>
  <c r="AM24" i="8"/>
  <c r="AF36" i="7"/>
  <c r="AH36" i="7" s="1"/>
  <c r="AG36" i="7"/>
  <c r="AI36" i="7" s="1"/>
  <c r="H18" i="19"/>
  <c r="J18" i="19" s="1"/>
  <c r="I18" i="19"/>
  <c r="K18" i="19" s="1"/>
  <c r="V18" i="19"/>
  <c r="AK18" i="19"/>
  <c r="E18" i="19"/>
  <c r="D18" i="19"/>
  <c r="U18" i="19"/>
  <c r="AJ18" i="19"/>
  <c r="U15" i="19"/>
  <c r="H15" i="19"/>
  <c r="J15" i="19" s="1"/>
  <c r="I15" i="19"/>
  <c r="K15" i="19" s="1"/>
  <c r="D15" i="19"/>
  <c r="E15" i="19"/>
  <c r="AK15" i="19"/>
  <c r="AJ15" i="19"/>
  <c r="V15" i="19"/>
  <c r="R9" i="7"/>
  <c r="T9" i="7" s="1"/>
  <c r="V9" i="7" s="1"/>
  <c r="R10" i="7"/>
  <c r="F10" i="7"/>
  <c r="I11" i="8"/>
  <c r="J11" i="8"/>
  <c r="H11" i="8"/>
  <c r="R11" i="7"/>
  <c r="S11" i="7" s="1"/>
  <c r="R27" i="7"/>
  <c r="S27" i="7" s="1"/>
  <c r="R28" i="7"/>
  <c r="T28" i="7" s="1"/>
  <c r="R29" i="7"/>
  <c r="T29" i="7" s="1"/>
  <c r="R30" i="7"/>
  <c r="S30" i="7" s="1"/>
  <c r="U30" i="7" s="1"/>
  <c r="C11" i="7"/>
  <c r="C30" i="7"/>
  <c r="Q30" i="7"/>
  <c r="AD30" i="7"/>
  <c r="C29" i="7"/>
  <c r="Q29" i="7"/>
  <c r="AD29" i="7"/>
  <c r="Q28" i="7"/>
  <c r="AD28" i="7"/>
  <c r="F28" i="7"/>
  <c r="H28" i="7" s="1"/>
  <c r="G28" i="7"/>
  <c r="I28" i="7" s="1"/>
  <c r="F29" i="7"/>
  <c r="H29" i="7" s="1"/>
  <c r="G29" i="7"/>
  <c r="I29" i="7" s="1"/>
  <c r="F30" i="7"/>
  <c r="H30" i="7" s="1"/>
  <c r="G30" i="7"/>
  <c r="I30" i="7" s="1"/>
  <c r="G10" i="7"/>
  <c r="G11" i="7"/>
  <c r="I11" i="7" s="1"/>
  <c r="F11" i="7"/>
  <c r="H11" i="7" s="1"/>
  <c r="C13" i="7"/>
  <c r="K11" i="8"/>
  <c r="K12" i="8"/>
  <c r="K13" i="8"/>
  <c r="K14" i="8"/>
  <c r="K15" i="8"/>
  <c r="K16" i="8"/>
  <c r="K17" i="8"/>
  <c r="K18" i="8"/>
  <c r="K19" i="8"/>
  <c r="K20" i="8"/>
  <c r="K21" i="8"/>
  <c r="K22" i="8"/>
  <c r="K10" i="8"/>
  <c r="J12" i="8"/>
  <c r="J13" i="8"/>
  <c r="J14" i="8"/>
  <c r="J15" i="8"/>
  <c r="J16" i="8"/>
  <c r="L16" i="8" s="1"/>
  <c r="J17" i="8"/>
  <c r="J18" i="8"/>
  <c r="J19" i="8"/>
  <c r="J20" i="8"/>
  <c r="J21" i="8"/>
  <c r="J22" i="8"/>
  <c r="J10" i="8"/>
  <c r="I12" i="8"/>
  <c r="L12" i="8" s="1"/>
  <c r="I13" i="8"/>
  <c r="I14" i="8"/>
  <c r="I15" i="8"/>
  <c r="I16" i="8"/>
  <c r="I17" i="8"/>
  <c r="I18" i="8"/>
  <c r="I19" i="8"/>
  <c r="I20" i="8"/>
  <c r="I21" i="8"/>
  <c r="I22" i="8"/>
  <c r="I10" i="8"/>
  <c r="H12" i="8"/>
  <c r="H13" i="8"/>
  <c r="H14" i="8"/>
  <c r="L14" i="8" s="1"/>
  <c r="H15" i="8"/>
  <c r="L15" i="8" s="1"/>
  <c r="H16" i="8"/>
  <c r="H17" i="8"/>
  <c r="H18" i="8"/>
  <c r="H19" i="8"/>
  <c r="H20" i="8"/>
  <c r="H21" i="8"/>
  <c r="L21" i="8" s="1"/>
  <c r="H22" i="8"/>
  <c r="H10" i="8"/>
  <c r="L22" i="8" l="1"/>
  <c r="AA15" i="19"/>
  <c r="X15" i="19"/>
  <c r="W15" i="19"/>
  <c r="AP15" i="19"/>
  <c r="AL15" i="19"/>
  <c r="AM15" i="19"/>
  <c r="AM18" i="19"/>
  <c r="AL18" i="19"/>
  <c r="AN18" i="19" s="1"/>
  <c r="X18" i="19"/>
  <c r="W18" i="19"/>
  <c r="Y18" i="19" s="1"/>
  <c r="AP23" i="8"/>
  <c r="P29" i="7"/>
  <c r="AC29" i="7"/>
  <c r="AI15" i="19"/>
  <c r="T15" i="19"/>
  <c r="AC30" i="7"/>
  <c r="P30" i="7"/>
  <c r="T18" i="19"/>
  <c r="AI18" i="19"/>
  <c r="S15" i="19"/>
  <c r="AH15" i="19"/>
  <c r="AH18" i="19"/>
  <c r="S18" i="19"/>
  <c r="AC13" i="7"/>
  <c r="P13" i="7"/>
  <c r="AC11" i="7"/>
  <c r="P11" i="7"/>
  <c r="Z18" i="19"/>
  <c r="AA18" i="19" s="1"/>
  <c r="L18" i="19"/>
  <c r="AO18" i="19"/>
  <c r="L15" i="19"/>
  <c r="L11" i="8"/>
  <c r="L32" i="8"/>
  <c r="S29" i="7"/>
  <c r="U29" i="7" s="1"/>
  <c r="AJ36" i="7"/>
  <c r="AE29" i="7"/>
  <c r="AF29" i="7" s="1"/>
  <c r="AE30" i="7"/>
  <c r="AF30" i="7" s="1"/>
  <c r="AH30" i="7" s="1"/>
  <c r="J30" i="7"/>
  <c r="J11" i="7"/>
  <c r="Y15" i="19"/>
  <c r="AO15" i="19"/>
  <c r="Z15" i="19"/>
  <c r="AN15" i="19"/>
  <c r="J29" i="7"/>
  <c r="T30" i="7"/>
  <c r="V30" i="7" s="1"/>
  <c r="W30" i="7" s="1"/>
  <c r="J28" i="7"/>
  <c r="S28" i="7"/>
  <c r="U28" i="7" s="1"/>
  <c r="AE28" i="7"/>
  <c r="AG28" i="7" s="1"/>
  <c r="AI28" i="7" s="1"/>
  <c r="V28" i="7"/>
  <c r="V29" i="7"/>
  <c r="T27" i="7"/>
  <c r="V27" i="7" s="1"/>
  <c r="U27" i="7"/>
  <c r="AE11" i="7"/>
  <c r="AG11" i="7" s="1"/>
  <c r="AI11" i="7" s="1"/>
  <c r="U11" i="7"/>
  <c r="T11" i="7"/>
  <c r="V11" i="7" s="1"/>
  <c r="AK22" i="8"/>
  <c r="V22" i="8"/>
  <c r="C22" i="8"/>
  <c r="U22" i="8"/>
  <c r="AG22" i="8" l="1"/>
  <c r="R22" i="8"/>
  <c r="AG30" i="7"/>
  <c r="AI30" i="7" s="1"/>
  <c r="AJ30" i="7" s="1"/>
  <c r="AG29" i="7"/>
  <c r="AI29" i="7" s="1"/>
  <c r="W29" i="7"/>
  <c r="AL22" i="8"/>
  <c r="AP22" i="8" s="1"/>
  <c r="X22" i="8"/>
  <c r="AH29" i="7"/>
  <c r="W28" i="7"/>
  <c r="AF28" i="7"/>
  <c r="AH28" i="7" s="1"/>
  <c r="AJ28" i="7" s="1"/>
  <c r="W11" i="7"/>
  <c r="AF11" i="7"/>
  <c r="AH11" i="7" s="1"/>
  <c r="AJ11" i="7" s="1"/>
  <c r="AN22" i="8"/>
  <c r="AO22" i="8"/>
  <c r="AM22" i="8"/>
  <c r="W22" i="8"/>
  <c r="Z22" i="8"/>
  <c r="Y22" i="8"/>
  <c r="V11" i="8"/>
  <c r="V16" i="8"/>
  <c r="V17" i="8"/>
  <c r="AA17" i="8" s="1"/>
  <c r="V18" i="8"/>
  <c r="AA18" i="8" s="1"/>
  <c r="V19" i="8"/>
  <c r="AA19" i="8" s="1"/>
  <c r="V20" i="8"/>
  <c r="AA20" i="8" s="1"/>
  <c r="V21" i="8"/>
  <c r="V10" i="8"/>
  <c r="AA22" i="8" l="1"/>
  <c r="AJ29" i="7"/>
  <c r="AK11" i="19"/>
  <c r="AK12" i="19"/>
  <c r="AK13" i="19"/>
  <c r="AK14" i="19"/>
  <c r="AK16" i="19"/>
  <c r="AK17" i="19"/>
  <c r="AK19" i="19"/>
  <c r="AK20" i="19"/>
  <c r="AK21" i="19"/>
  <c r="AK22" i="19"/>
  <c r="AK23" i="19"/>
  <c r="AK24" i="19"/>
  <c r="AP24" i="19" s="1"/>
  <c r="AK25" i="19"/>
  <c r="AK26" i="19"/>
  <c r="AK10" i="19"/>
  <c r="V11" i="19"/>
  <c r="V12" i="19"/>
  <c r="V13" i="19"/>
  <c r="V14" i="19"/>
  <c r="V16" i="19"/>
  <c r="V17" i="19"/>
  <c r="V19" i="19"/>
  <c r="V20" i="19"/>
  <c r="V21" i="19"/>
  <c r="V22" i="19"/>
  <c r="V23" i="19"/>
  <c r="V24" i="19"/>
  <c r="V25" i="19"/>
  <c r="V26" i="19"/>
  <c r="V10" i="19"/>
  <c r="L11" i="19"/>
  <c r="L12" i="19"/>
  <c r="L24" i="19"/>
  <c r="AJ11" i="19"/>
  <c r="AJ12" i="19"/>
  <c r="AJ13" i="19"/>
  <c r="AJ14" i="19"/>
  <c r="AJ16" i="19"/>
  <c r="AJ17" i="19"/>
  <c r="AJ19" i="19"/>
  <c r="AJ20" i="19"/>
  <c r="AJ21" i="19"/>
  <c r="AJ22" i="19"/>
  <c r="AJ23" i="19"/>
  <c r="AJ24" i="19"/>
  <c r="AJ10" i="19"/>
  <c r="U11" i="19"/>
  <c r="U12" i="19"/>
  <c r="U13" i="19"/>
  <c r="U14" i="19"/>
  <c r="U16" i="19"/>
  <c r="U17" i="19"/>
  <c r="U19" i="19"/>
  <c r="U20" i="19"/>
  <c r="U21" i="19"/>
  <c r="U22" i="19"/>
  <c r="U23" i="19"/>
  <c r="U24" i="19"/>
  <c r="U10" i="19"/>
  <c r="J11" i="19"/>
  <c r="J12" i="19"/>
  <c r="I11" i="19"/>
  <c r="K11" i="19" s="1"/>
  <c r="I12" i="19"/>
  <c r="K12" i="19" s="1"/>
  <c r="I13" i="19"/>
  <c r="K13" i="19" s="1"/>
  <c r="I14" i="19"/>
  <c r="K14" i="19" s="1"/>
  <c r="I16" i="19"/>
  <c r="K16" i="19" s="1"/>
  <c r="I17" i="19"/>
  <c r="K17" i="19" s="1"/>
  <c r="I19" i="19"/>
  <c r="K19" i="19" s="1"/>
  <c r="L34" i="19" s="1"/>
  <c r="I20" i="19"/>
  <c r="K20" i="19" s="1"/>
  <c r="I21" i="19"/>
  <c r="K21" i="19" s="1"/>
  <c r="I22" i="19"/>
  <c r="K22" i="19" s="1"/>
  <c r="I23" i="19"/>
  <c r="K23" i="19" s="1"/>
  <c r="I24" i="19"/>
  <c r="K24" i="19" s="1"/>
  <c r="I25" i="19"/>
  <c r="K25" i="19" s="1"/>
  <c r="L25" i="19" s="1"/>
  <c r="I26" i="19"/>
  <c r="K26" i="19" s="1"/>
  <c r="H11" i="19"/>
  <c r="H12" i="19"/>
  <c r="H13" i="19"/>
  <c r="J13" i="19" s="1"/>
  <c r="H14" i="19"/>
  <c r="J14" i="19" s="1"/>
  <c r="H16" i="19"/>
  <c r="J16" i="19" s="1"/>
  <c r="H17" i="19"/>
  <c r="J17" i="19" s="1"/>
  <c r="H19" i="19"/>
  <c r="J19" i="19" s="1"/>
  <c r="H20" i="19"/>
  <c r="J20" i="19" s="1"/>
  <c r="H21" i="19"/>
  <c r="J21" i="19" s="1"/>
  <c r="H22" i="19"/>
  <c r="J22" i="19" s="1"/>
  <c r="H23" i="19"/>
  <c r="J23" i="19" s="1"/>
  <c r="L23" i="19" s="1"/>
  <c r="H24" i="19"/>
  <c r="J24" i="19" s="1"/>
  <c r="H25" i="19"/>
  <c r="J25" i="19" s="1"/>
  <c r="H26" i="19"/>
  <c r="J26" i="19" s="1"/>
  <c r="I10" i="19"/>
  <c r="K10" i="19" s="1"/>
  <c r="H10" i="19"/>
  <c r="J10" i="19" s="1"/>
  <c r="E23" i="19"/>
  <c r="E24" i="19"/>
  <c r="E22" i="19"/>
  <c r="E17" i="19"/>
  <c r="E19" i="19"/>
  <c r="E20" i="19"/>
  <c r="E21" i="19"/>
  <c r="E16" i="19"/>
  <c r="E11" i="19"/>
  <c r="E12" i="19"/>
  <c r="E13" i="19"/>
  <c r="E14" i="19"/>
  <c r="E10" i="19"/>
  <c r="D26" i="19"/>
  <c r="E25" i="19"/>
  <c r="D11" i="19"/>
  <c r="D12" i="19"/>
  <c r="D13" i="19"/>
  <c r="D14" i="19"/>
  <c r="D16" i="19"/>
  <c r="D17" i="19"/>
  <c r="D19" i="19"/>
  <c r="D20" i="19"/>
  <c r="D21" i="19"/>
  <c r="D22" i="19"/>
  <c r="D23" i="19"/>
  <c r="D24" i="19"/>
  <c r="D10" i="19"/>
  <c r="W20" i="19" l="1"/>
  <c r="X20" i="19"/>
  <c r="AL21" i="19"/>
  <c r="AM21" i="19"/>
  <c r="W13" i="19"/>
  <c r="X13" i="19"/>
  <c r="AL20" i="19"/>
  <c r="AM20" i="19"/>
  <c r="AM16" i="19"/>
  <c r="AL16" i="19"/>
  <c r="AL13" i="19"/>
  <c r="AM13" i="19"/>
  <c r="W17" i="19"/>
  <c r="X17" i="19"/>
  <c r="W14" i="19"/>
  <c r="X14" i="19"/>
  <c r="AL12" i="19"/>
  <c r="AM12" i="19"/>
  <c r="AL17" i="19"/>
  <c r="AM17" i="19"/>
  <c r="AL14" i="19"/>
  <c r="AM14" i="19"/>
  <c r="W16" i="19"/>
  <c r="X16" i="19"/>
  <c r="Z12" i="19"/>
  <c r="W12" i="19"/>
  <c r="X12" i="19"/>
  <c r="W21" i="19"/>
  <c r="X21" i="19"/>
  <c r="W11" i="19"/>
  <c r="X11" i="19"/>
  <c r="Z11" i="19" s="1"/>
  <c r="AA11" i="19" s="1"/>
  <c r="AM11" i="19"/>
  <c r="AO11" i="19" s="1"/>
  <c r="AP11" i="19" s="1"/>
  <c r="AL11" i="19"/>
  <c r="AN11" i="19" s="1"/>
  <c r="AL22" i="19"/>
  <c r="AM22" i="19"/>
  <c r="AO22" i="19" s="1"/>
  <c r="W22" i="19"/>
  <c r="X22" i="19"/>
  <c r="Z22" i="19" s="1"/>
  <c r="X19" i="19"/>
  <c r="W19" i="19"/>
  <c r="AM19" i="19"/>
  <c r="AL19" i="19"/>
  <c r="AN19" i="19" s="1"/>
  <c r="AA12" i="19"/>
  <c r="S16" i="19"/>
  <c r="AH16" i="19"/>
  <c r="S22" i="19"/>
  <c r="AH22" i="19"/>
  <c r="S14" i="19"/>
  <c r="AH14" i="19"/>
  <c r="T10" i="19"/>
  <c r="AI10" i="19"/>
  <c r="T21" i="19"/>
  <c r="AI21" i="19"/>
  <c r="AI23" i="19"/>
  <c r="T23" i="19"/>
  <c r="S21" i="19"/>
  <c r="AH21" i="19"/>
  <c r="AH13" i="19"/>
  <c r="S13" i="19"/>
  <c r="T14" i="19"/>
  <c r="AI14" i="19"/>
  <c r="T20" i="19"/>
  <c r="AI20" i="19"/>
  <c r="S23" i="19"/>
  <c r="AH23" i="19"/>
  <c r="S26" i="19"/>
  <c r="AH26" i="19"/>
  <c r="AI16" i="19"/>
  <c r="T16" i="19"/>
  <c r="T24" i="19"/>
  <c r="AI24" i="19"/>
  <c r="S20" i="19"/>
  <c r="AH20" i="19"/>
  <c r="AH12" i="19"/>
  <c r="S12" i="19"/>
  <c r="T13" i="19"/>
  <c r="AI13" i="19"/>
  <c r="T19" i="19"/>
  <c r="AI19" i="19"/>
  <c r="S10" i="19"/>
  <c r="AH10" i="19"/>
  <c r="AH19" i="19"/>
  <c r="S19" i="19"/>
  <c r="S11" i="19"/>
  <c r="AH11" i="19"/>
  <c r="T12" i="19"/>
  <c r="AI12" i="19"/>
  <c r="AI17" i="19"/>
  <c r="T17" i="19"/>
  <c r="AH24" i="19"/>
  <c r="S24" i="19"/>
  <c r="S17" i="19"/>
  <c r="AH17" i="19"/>
  <c r="T25" i="19"/>
  <c r="AI25" i="19"/>
  <c r="AI11" i="19"/>
  <c r="T11" i="19"/>
  <c r="AI22" i="19"/>
  <c r="T22" i="19"/>
  <c r="L21" i="19"/>
  <c r="L20" i="19"/>
  <c r="Z25" i="19"/>
  <c r="L10" i="19"/>
  <c r="AN26" i="19"/>
  <c r="Z17" i="19"/>
  <c r="Y21" i="19"/>
  <c r="Z21" i="19"/>
  <c r="AO12" i="19"/>
  <c r="Y22" i="19"/>
  <c r="Z23" i="19"/>
  <c r="AA23" i="19" s="1"/>
  <c r="Y23" i="19"/>
  <c r="AN21" i="19"/>
  <c r="Y10" i="19"/>
  <c r="AA10" i="19" s="1"/>
  <c r="Z10" i="19"/>
  <c r="AO19" i="19"/>
  <c r="AO20" i="19"/>
  <c r="Y24" i="19"/>
  <c r="AO10" i="19"/>
  <c r="Z24" i="19"/>
  <c r="AO25" i="19"/>
  <c r="AP25" i="19" s="1"/>
  <c r="AN10" i="19"/>
  <c r="AP10" i="19" s="1"/>
  <c r="AN25" i="19"/>
  <c r="L16" i="19"/>
  <c r="L17" i="19"/>
  <c r="Z20" i="19"/>
  <c r="AN22" i="19"/>
  <c r="Y20" i="19"/>
  <c r="L14" i="19"/>
  <c r="L22" i="19"/>
  <c r="Y12" i="19"/>
  <c r="Y26" i="19"/>
  <c r="Z26" i="19"/>
  <c r="AO26" i="19"/>
  <c r="L19" i="19"/>
  <c r="Z14" i="19"/>
  <c r="Y14" i="19"/>
  <c r="AN12" i="19"/>
  <c r="AN17" i="19"/>
  <c r="AN20" i="19"/>
  <c r="AN14" i="19"/>
  <c r="Y11" i="19"/>
  <c r="AO14" i="19"/>
  <c r="AO21" i="19"/>
  <c r="U26" i="19"/>
  <c r="AP12" i="19"/>
  <c r="AO16" i="19"/>
  <c r="AN13" i="19"/>
  <c r="AO13" i="19"/>
  <c r="AN16" i="19"/>
  <c r="AN24" i="19"/>
  <c r="AO17" i="19"/>
  <c r="AO24" i="19"/>
  <c r="AN23" i="19"/>
  <c r="AO23" i="19"/>
  <c r="AP23" i="19" s="1"/>
  <c r="Z13" i="19"/>
  <c r="AA25" i="19"/>
  <c r="Z19" i="19"/>
  <c r="Y16" i="19"/>
  <c r="Z16" i="19"/>
  <c r="AA24" i="19"/>
  <c r="Y19" i="19"/>
  <c r="Y13" i="19"/>
  <c r="Y17" i="19"/>
  <c r="Y25" i="19"/>
  <c r="U25" i="19"/>
  <c r="AJ26" i="19"/>
  <c r="AJ25" i="19"/>
  <c r="L13" i="19"/>
  <c r="D25" i="19"/>
  <c r="E26" i="19"/>
  <c r="AP19" i="19" l="1"/>
  <c r="AH25" i="19"/>
  <c r="S25" i="19"/>
  <c r="L26" i="19"/>
  <c r="T26" i="19"/>
  <c r="AA26" i="19" s="1"/>
  <c r="AI26" i="19"/>
  <c r="AP26" i="19" s="1"/>
  <c r="AA21" i="19"/>
  <c r="AP20" i="19"/>
  <c r="AP21" i="19"/>
  <c r="AA20" i="19"/>
  <c r="AA17" i="19"/>
  <c r="AP22" i="19"/>
  <c r="AA22" i="19"/>
  <c r="AP17" i="19"/>
  <c r="AP14" i="19"/>
  <c r="AA14" i="19"/>
  <c r="AA19" i="19"/>
  <c r="AA13" i="19"/>
  <c r="AP13" i="19"/>
  <c r="AP16" i="19"/>
  <c r="AA16" i="19"/>
  <c r="C28" i="20" l="1"/>
  <c r="C27" i="20"/>
  <c r="H28" i="20"/>
  <c r="J28" i="20"/>
  <c r="H29" i="20"/>
  <c r="J29" i="20"/>
  <c r="H30" i="20"/>
  <c r="J30" i="20"/>
  <c r="H31" i="20"/>
  <c r="J31" i="20"/>
  <c r="H32" i="20"/>
  <c r="J32" i="20"/>
  <c r="H33" i="20"/>
  <c r="J33" i="20"/>
  <c r="H34" i="20"/>
  <c r="J34" i="20"/>
  <c r="J27" i="20"/>
  <c r="L40" i="20" s="1"/>
  <c r="H27" i="20"/>
  <c r="L31" i="20"/>
  <c r="L29" i="20"/>
  <c r="L32" i="20" l="1"/>
  <c r="L34" i="20"/>
  <c r="L30" i="20"/>
  <c r="L38" i="20"/>
  <c r="L39" i="20"/>
  <c r="L41" i="20"/>
  <c r="L28" i="20"/>
  <c r="C30" i="20"/>
  <c r="C32" i="20"/>
  <c r="C33" i="20"/>
  <c r="L33" i="20" s="1"/>
  <c r="C34" i="20"/>
  <c r="V28" i="20"/>
  <c r="V29" i="20"/>
  <c r="V30" i="20"/>
  <c r="V31" i="20"/>
  <c r="AK31" i="20" s="1"/>
  <c r="V32" i="20"/>
  <c r="V33" i="20"/>
  <c r="AK33" i="20" s="1"/>
  <c r="V34" i="20"/>
  <c r="AA34" i="20" s="1"/>
  <c r="V27" i="20"/>
  <c r="AI28" i="20"/>
  <c r="AG28" i="20" s="1"/>
  <c r="AI30" i="20"/>
  <c r="AG30" i="20" s="1"/>
  <c r="AI32" i="20"/>
  <c r="AG32" i="20" s="1"/>
  <c r="AI33" i="20"/>
  <c r="AG33" i="20" s="1"/>
  <c r="AI34" i="20"/>
  <c r="AG34" i="20" s="1"/>
  <c r="AI27" i="20"/>
  <c r="AG27" i="20" s="1"/>
  <c r="T28" i="20"/>
  <c r="R28" i="20" s="1"/>
  <c r="T30" i="20"/>
  <c r="R30" i="20" s="1"/>
  <c r="T32" i="20"/>
  <c r="R32" i="20" s="1"/>
  <c r="T33" i="20"/>
  <c r="R33" i="20" s="1"/>
  <c r="T34" i="20"/>
  <c r="R34" i="20" s="1"/>
  <c r="T27" i="20"/>
  <c r="R27" i="20" s="1"/>
  <c r="AP18" i="20"/>
  <c r="AA18" i="20"/>
  <c r="AO18" i="20"/>
  <c r="Z18" i="20"/>
  <c r="K11" i="20"/>
  <c r="K12" i="20"/>
  <c r="K14" i="20"/>
  <c r="K19" i="20"/>
  <c r="K21" i="20"/>
  <c r="K22" i="20"/>
  <c r="K23" i="20"/>
  <c r="K24" i="20"/>
  <c r="W18" i="20"/>
  <c r="X18" i="20"/>
  <c r="Y18" i="20"/>
  <c r="AL18" i="20"/>
  <c r="AM18" i="20"/>
  <c r="AN18" i="20"/>
  <c r="AJ18" i="20"/>
  <c r="AI18" i="20" s="1"/>
  <c r="U18" i="20"/>
  <c r="T18" i="20" s="1"/>
  <c r="H18" i="20"/>
  <c r="J18" i="20" s="1"/>
  <c r="I18" i="20"/>
  <c r="K18" i="20" s="1"/>
  <c r="E18" i="20"/>
  <c r="W32" i="20" l="1"/>
  <c r="Y32" i="20"/>
  <c r="AK32" i="20"/>
  <c r="AK34" i="20"/>
  <c r="Y34" i="20"/>
  <c r="W34" i="20"/>
  <c r="AA32" i="20"/>
  <c r="AN33" i="20"/>
  <c r="AL33" i="20"/>
  <c r="AP33" i="20" s="1"/>
  <c r="W33" i="20"/>
  <c r="Y33" i="20"/>
  <c r="W30" i="20"/>
  <c r="Y30" i="20"/>
  <c r="Y27" i="20"/>
  <c r="W27" i="20"/>
  <c r="W29" i="20"/>
  <c r="AA29" i="20"/>
  <c r="Y29" i="20"/>
  <c r="W28" i="20"/>
  <c r="Y28" i="20"/>
  <c r="AL31" i="20"/>
  <c r="AP31" i="20"/>
  <c r="AN31" i="20"/>
  <c r="AA31" i="20"/>
  <c r="W31" i="20"/>
  <c r="Y31" i="20"/>
  <c r="AK30" i="20"/>
  <c r="AK29" i="20"/>
  <c r="AK28" i="20"/>
  <c r="L27" i="20"/>
  <c r="AK27" i="20"/>
  <c r="L18" i="20"/>
  <c r="AA30" i="20" l="1"/>
  <c r="AA33" i="20"/>
  <c r="AA28" i="20"/>
  <c r="AA27" i="20"/>
  <c r="AN34" i="20"/>
  <c r="AL34" i="20"/>
  <c r="AP34" i="20"/>
  <c r="AL32" i="20"/>
  <c r="AN32" i="20"/>
  <c r="AP32" i="20"/>
  <c r="AL30" i="20"/>
  <c r="AN30" i="20"/>
  <c r="AL28" i="20"/>
  <c r="AN28" i="20"/>
  <c r="AN27" i="20"/>
  <c r="AL27" i="20"/>
  <c r="AL29" i="20"/>
  <c r="AN29" i="20"/>
  <c r="AP29" i="20"/>
  <c r="AP27" i="20" l="1"/>
  <c r="AP30" i="20"/>
  <c r="AP28" i="20"/>
  <c r="AH10" i="20" l="1"/>
  <c r="AG10" i="20" s="1"/>
  <c r="AH11" i="20"/>
  <c r="AG11" i="20" s="1"/>
  <c r="AH12" i="20"/>
  <c r="AG12" i="20" s="1"/>
  <c r="AH13" i="20"/>
  <c r="AG13" i="20" s="1"/>
  <c r="AH14" i="20"/>
  <c r="AG14" i="20" s="1"/>
  <c r="AH15" i="20"/>
  <c r="AG15" i="20" s="1"/>
  <c r="AH16" i="20"/>
  <c r="AG16" i="20" s="1"/>
  <c r="AH17" i="20"/>
  <c r="AG17" i="20" s="1"/>
  <c r="AH19" i="20"/>
  <c r="AG19" i="20" s="1"/>
  <c r="AH20" i="20"/>
  <c r="AG20" i="20" s="1"/>
  <c r="AH21" i="20"/>
  <c r="AG21" i="20" s="1"/>
  <c r="AH22" i="20"/>
  <c r="AG22" i="20" s="1"/>
  <c r="AH23" i="20"/>
  <c r="AG23" i="20" s="1"/>
  <c r="AH9" i="20"/>
  <c r="AG9" i="20" s="1"/>
  <c r="S10" i="20"/>
  <c r="R10" i="20" s="1"/>
  <c r="S11" i="20"/>
  <c r="R11" i="20" s="1"/>
  <c r="S12" i="20"/>
  <c r="S13" i="20"/>
  <c r="S14" i="20"/>
  <c r="S15" i="20"/>
  <c r="S16" i="20"/>
  <c r="S17" i="20"/>
  <c r="S19" i="20"/>
  <c r="S20" i="20"/>
  <c r="S21" i="20"/>
  <c r="S22" i="20"/>
  <c r="S23" i="20"/>
  <c r="S9" i="20"/>
  <c r="R9" i="20" s="1"/>
  <c r="V9" i="20"/>
  <c r="V24" i="20"/>
  <c r="V10" i="20"/>
  <c r="V11" i="20"/>
  <c r="V12" i="20"/>
  <c r="V13" i="20"/>
  <c r="V14" i="20"/>
  <c r="V15" i="20"/>
  <c r="V16" i="20"/>
  <c r="V17" i="20"/>
  <c r="V19" i="20"/>
  <c r="V20" i="20"/>
  <c r="V21" i="20"/>
  <c r="AA21" i="20" s="1"/>
  <c r="V22" i="20"/>
  <c r="V23" i="20"/>
  <c r="AJ10" i="20"/>
  <c r="AJ11" i="20"/>
  <c r="AJ12" i="20"/>
  <c r="AJ13" i="20"/>
  <c r="AJ14" i="20"/>
  <c r="AJ15" i="20"/>
  <c r="AJ16" i="20"/>
  <c r="AJ17" i="20"/>
  <c r="AJ19" i="20"/>
  <c r="AJ20" i="20"/>
  <c r="AJ21" i="20"/>
  <c r="AJ22" i="20"/>
  <c r="AJ23" i="20"/>
  <c r="AJ9" i="20"/>
  <c r="H10" i="20"/>
  <c r="H9" i="20"/>
  <c r="U10" i="20"/>
  <c r="T10" i="20" s="1"/>
  <c r="U11" i="20"/>
  <c r="T11" i="20" s="1"/>
  <c r="U12" i="20"/>
  <c r="T12" i="20" s="1"/>
  <c r="U13" i="20"/>
  <c r="T13" i="20" s="1"/>
  <c r="U14" i="20"/>
  <c r="T14" i="20" s="1"/>
  <c r="U15" i="20"/>
  <c r="T15" i="20" s="1"/>
  <c r="U16" i="20"/>
  <c r="T16" i="20" s="1"/>
  <c r="U17" i="20"/>
  <c r="T17" i="20" s="1"/>
  <c r="U19" i="20"/>
  <c r="T19" i="20" s="1"/>
  <c r="U20" i="20"/>
  <c r="T20" i="20" s="1"/>
  <c r="U21" i="20"/>
  <c r="T21" i="20" s="1"/>
  <c r="U22" i="20"/>
  <c r="T22" i="20" s="1"/>
  <c r="U23" i="20"/>
  <c r="T23" i="20" s="1"/>
  <c r="U9" i="20"/>
  <c r="T9" i="20" s="1"/>
  <c r="L11" i="20"/>
  <c r="L12" i="20"/>
  <c r="L14" i="20"/>
  <c r="L19" i="20"/>
  <c r="L21" i="20"/>
  <c r="L22" i="20"/>
  <c r="L23" i="20"/>
  <c r="L24" i="20"/>
  <c r="E14" i="20"/>
  <c r="E13" i="20"/>
  <c r="C13" i="20"/>
  <c r="C14" i="20"/>
  <c r="E10" i="20"/>
  <c r="E11" i="20"/>
  <c r="E12" i="20"/>
  <c r="E15" i="20"/>
  <c r="E16" i="20"/>
  <c r="E17" i="20"/>
  <c r="E19" i="20"/>
  <c r="E20" i="20"/>
  <c r="E21" i="20"/>
  <c r="E22" i="20"/>
  <c r="E23" i="20"/>
  <c r="E9" i="20"/>
  <c r="C10" i="20"/>
  <c r="C11" i="20"/>
  <c r="C12" i="20"/>
  <c r="C15" i="20"/>
  <c r="C16" i="20"/>
  <c r="C17" i="20"/>
  <c r="C19" i="20"/>
  <c r="C20" i="20"/>
  <c r="C21" i="20"/>
  <c r="C22" i="20"/>
  <c r="C23" i="20"/>
  <c r="C9" i="20"/>
  <c r="D24" i="20"/>
  <c r="C24" i="20" s="1"/>
  <c r="F24" i="20"/>
  <c r="U24" i="20" s="1"/>
  <c r="T24" i="20" s="1"/>
  <c r="R13" i="20" l="1"/>
  <c r="R14" i="20"/>
  <c r="AK9" i="20"/>
  <c r="AK20" i="20"/>
  <c r="AK13" i="20"/>
  <c r="AK19" i="20"/>
  <c r="AO19" i="20" s="1"/>
  <c r="Z19" i="20"/>
  <c r="AK12" i="20"/>
  <c r="AO12" i="20" s="1"/>
  <c r="Z12" i="20"/>
  <c r="AK14" i="20"/>
  <c r="AO14" i="20" s="1"/>
  <c r="Z14" i="20"/>
  <c r="AA11" i="20"/>
  <c r="Z11" i="20"/>
  <c r="AK21" i="20"/>
  <c r="AO21" i="20" s="1"/>
  <c r="Z21" i="20"/>
  <c r="AA23" i="20"/>
  <c r="Z23" i="20"/>
  <c r="AK10" i="20"/>
  <c r="AA22" i="20"/>
  <c r="Z22" i="20"/>
  <c r="AK15" i="20"/>
  <c r="AA24" i="20"/>
  <c r="Z24" i="20"/>
  <c r="AK22" i="20"/>
  <c r="AO22" i="20" s="1"/>
  <c r="S24" i="20"/>
  <c r="R17" i="20"/>
  <c r="R21" i="20" s="1"/>
  <c r="AA19" i="20"/>
  <c r="AK16" i="20"/>
  <c r="AK23" i="20"/>
  <c r="AO23" i="20" s="1"/>
  <c r="R16" i="20"/>
  <c r="R20" i="20" s="1"/>
  <c r="R23" i="20" s="1"/>
  <c r="AK11" i="20"/>
  <c r="AO11" i="20" s="1"/>
  <c r="AK17" i="20"/>
  <c r="AK24" i="20"/>
  <c r="AO24" i="20" s="1"/>
  <c r="AH24" i="20"/>
  <c r="AA12" i="20"/>
  <c r="AJ24" i="20"/>
  <c r="AA14" i="20"/>
  <c r="R12" i="20"/>
  <c r="R15" i="20" s="1"/>
  <c r="R19" i="20" s="1"/>
  <c r="R22" i="20" s="1"/>
  <c r="E24" i="20"/>
  <c r="T17" i="8"/>
  <c r="T18" i="8"/>
  <c r="T16" i="8"/>
  <c r="J32" i="7"/>
  <c r="R37" i="7"/>
  <c r="AE37" i="7" s="1"/>
  <c r="AE10" i="7"/>
  <c r="AG10" i="7" s="1"/>
  <c r="R12" i="7"/>
  <c r="AE12" i="7" s="1"/>
  <c r="R13" i="7"/>
  <c r="AE13" i="7" s="1"/>
  <c r="R14" i="7"/>
  <c r="AE14" i="7" s="1"/>
  <c r="R15" i="7"/>
  <c r="AE15" i="7" s="1"/>
  <c r="R16" i="7"/>
  <c r="AE16" i="7" s="1"/>
  <c r="R17" i="7"/>
  <c r="AE17" i="7" s="1"/>
  <c r="R18" i="7"/>
  <c r="W18" i="7" s="1"/>
  <c r="R19" i="7"/>
  <c r="R20" i="7"/>
  <c r="AE20" i="7" s="1"/>
  <c r="R21" i="7"/>
  <c r="AE21" i="7" s="1"/>
  <c r="R22" i="7"/>
  <c r="AE22" i="7" s="1"/>
  <c r="R23" i="7"/>
  <c r="AE23" i="7" s="1"/>
  <c r="R24" i="7"/>
  <c r="AE24" i="7" s="1"/>
  <c r="R25" i="7"/>
  <c r="AE25" i="7" s="1"/>
  <c r="R26" i="7"/>
  <c r="AE26" i="7" s="1"/>
  <c r="AE27" i="7"/>
  <c r="R31" i="7"/>
  <c r="AE31" i="7" s="1"/>
  <c r="R32" i="7"/>
  <c r="AE32" i="7" s="1"/>
  <c r="R33" i="7"/>
  <c r="AE33" i="7" s="1"/>
  <c r="R34" i="7"/>
  <c r="AE34" i="7" s="1"/>
  <c r="R35" i="7"/>
  <c r="AE35" i="7" s="1"/>
  <c r="Q9" i="7"/>
  <c r="C10" i="7"/>
  <c r="J14" i="7"/>
  <c r="J18" i="7"/>
  <c r="J34" i="7"/>
  <c r="AC9" i="7" l="1"/>
  <c r="P9" i="7"/>
  <c r="AC10" i="7"/>
  <c r="P10" i="7"/>
  <c r="R24" i="20"/>
  <c r="AE19" i="7"/>
  <c r="AE18" i="7"/>
  <c r="AJ18" i="7" s="1"/>
  <c r="I14" i="7" l="1"/>
  <c r="I18" i="7"/>
  <c r="I32" i="7"/>
  <c r="I34" i="7"/>
  <c r="V18" i="7"/>
  <c r="AI18" i="7"/>
  <c r="F9" i="7"/>
  <c r="H9" i="7" s="1"/>
  <c r="J9" i="7" s="1"/>
  <c r="C20" i="8" l="1"/>
  <c r="C21" i="8"/>
  <c r="C19" i="8"/>
  <c r="AG19" i="8" l="1"/>
  <c r="R19" i="8"/>
  <c r="AG21" i="8"/>
  <c r="R21" i="8"/>
  <c r="R20" i="8"/>
  <c r="AG20" i="8"/>
  <c r="I24" i="20"/>
  <c r="H24" i="20"/>
  <c r="J24" i="20" s="1"/>
  <c r="I23" i="20"/>
  <c r="H23" i="20"/>
  <c r="J23" i="20" s="1"/>
  <c r="X22" i="20"/>
  <c r="J22" i="20"/>
  <c r="I22" i="20"/>
  <c r="H22" i="20"/>
  <c r="I21" i="20"/>
  <c r="H21" i="20"/>
  <c r="J21" i="20" s="1"/>
  <c r="I20" i="20"/>
  <c r="K20" i="20" s="1"/>
  <c r="H20" i="20"/>
  <c r="J20" i="20" s="1"/>
  <c r="X19" i="20"/>
  <c r="I19" i="20"/>
  <c r="H19" i="20"/>
  <c r="J19" i="20" s="1"/>
  <c r="X17" i="20"/>
  <c r="Z17" i="20" s="1"/>
  <c r="I17" i="20"/>
  <c r="K17" i="20" s="1"/>
  <c r="H17" i="20"/>
  <c r="J17" i="20" s="1"/>
  <c r="I16" i="20"/>
  <c r="K16" i="20" s="1"/>
  <c r="L16" i="20" s="1"/>
  <c r="H16" i="20"/>
  <c r="J16" i="20" s="1"/>
  <c r="W15" i="20"/>
  <c r="I15" i="20"/>
  <c r="K15" i="20" s="1"/>
  <c r="H15" i="20"/>
  <c r="J15" i="20" s="1"/>
  <c r="AP14" i="20"/>
  <c r="I14" i="20"/>
  <c r="H14" i="20"/>
  <c r="J14" i="20" s="1"/>
  <c r="X13" i="20"/>
  <c r="Z13" i="20" s="1"/>
  <c r="I13" i="20"/>
  <c r="K13" i="20" s="1"/>
  <c r="H13" i="20"/>
  <c r="J13" i="20" s="1"/>
  <c r="I12" i="20"/>
  <c r="H12" i="20"/>
  <c r="J12" i="20" s="1"/>
  <c r="I11" i="20"/>
  <c r="H11" i="20"/>
  <c r="J11" i="20" s="1"/>
  <c r="I10" i="20"/>
  <c r="K10" i="20" s="1"/>
  <c r="J10" i="20"/>
  <c r="I9" i="20"/>
  <c r="K9" i="20" s="1"/>
  <c r="J9" i="20"/>
  <c r="L20" i="20" l="1"/>
  <c r="L17" i="20"/>
  <c r="L15" i="20"/>
  <c r="L10" i="20"/>
  <c r="L9" i="20"/>
  <c r="L13" i="20"/>
  <c r="X15" i="20"/>
  <c r="Z15" i="20" s="1"/>
  <c r="W21" i="20"/>
  <c r="Y21" i="20" s="1"/>
  <c r="X21" i="20"/>
  <c r="Y15" i="20"/>
  <c r="W20" i="20"/>
  <c r="Y20" i="20" s="1"/>
  <c r="X20" i="20"/>
  <c r="Z20" i="20" s="1"/>
  <c r="AA20" i="20" s="1"/>
  <c r="W9" i="20"/>
  <c r="Y9" i="20" s="1"/>
  <c r="AL9" i="20"/>
  <c r="W10" i="20"/>
  <c r="Y10" i="20" s="1"/>
  <c r="W11" i="20"/>
  <c r="Y11" i="20" s="1"/>
  <c r="W24" i="20"/>
  <c r="Y24" i="20" s="1"/>
  <c r="X9" i="20"/>
  <c r="X10" i="20"/>
  <c r="X11" i="20"/>
  <c r="X12" i="20"/>
  <c r="X24" i="20"/>
  <c r="W12" i="20"/>
  <c r="Y12" i="20" s="1"/>
  <c r="X14" i="20"/>
  <c r="W17" i="20"/>
  <c r="Y17" i="20" s="1"/>
  <c r="AA17" i="20" s="1"/>
  <c r="W19" i="20"/>
  <c r="Y19" i="20" s="1"/>
  <c r="AP19" i="20"/>
  <c r="W23" i="20"/>
  <c r="Y23" i="20" s="1"/>
  <c r="AL10" i="20"/>
  <c r="W22" i="20"/>
  <c r="Y22" i="20" s="1"/>
  <c r="X23" i="20"/>
  <c r="W13" i="20"/>
  <c r="Y13" i="20" s="1"/>
  <c r="AA13" i="20" s="1"/>
  <c r="W16" i="20"/>
  <c r="Y16" i="20" s="1"/>
  <c r="W14" i="20"/>
  <c r="Y14" i="20" s="1"/>
  <c r="X16" i="20"/>
  <c r="Z16" i="20" s="1"/>
  <c r="AA16" i="20" s="1"/>
  <c r="AL14" i="20"/>
  <c r="AL16" i="20"/>
  <c r="AM14" i="20"/>
  <c r="AN14" i="20" s="1"/>
  <c r="AM16" i="20"/>
  <c r="F12" i="7"/>
  <c r="F13" i="7"/>
  <c r="F14" i="7"/>
  <c r="F15" i="7"/>
  <c r="F16" i="7"/>
  <c r="F17" i="7"/>
  <c r="F18" i="7"/>
  <c r="F19" i="7"/>
  <c r="F20" i="7"/>
  <c r="F21" i="7"/>
  <c r="F22" i="7"/>
  <c r="F23" i="7"/>
  <c r="F24" i="7"/>
  <c r="F25" i="7"/>
  <c r="F26" i="7"/>
  <c r="F27" i="7"/>
  <c r="F31" i="7"/>
  <c r="F32" i="7"/>
  <c r="F33" i="7"/>
  <c r="F34" i="7"/>
  <c r="Z10" i="20" l="1"/>
  <c r="AA10" i="20" s="1"/>
  <c r="AN16" i="20"/>
  <c r="AO16" i="20"/>
  <c r="AP16" i="20" s="1"/>
  <c r="AA15" i="20"/>
  <c r="Z9" i="20"/>
  <c r="AA9" i="20" s="1"/>
  <c r="AL24" i="20"/>
  <c r="AP24" i="20"/>
  <c r="AL23" i="20"/>
  <c r="AP23" i="20"/>
  <c r="AL21" i="20"/>
  <c r="AP21" i="20"/>
  <c r="AL20" i="20"/>
  <c r="AL15" i="20"/>
  <c r="AM22" i="20"/>
  <c r="AP22" i="20"/>
  <c r="AM12" i="20"/>
  <c r="AP12" i="20"/>
  <c r="AL17" i="20"/>
  <c r="AL13" i="20"/>
  <c r="AG24" i="20"/>
  <c r="AM13" i="20"/>
  <c r="AO13" i="20" s="1"/>
  <c r="AM11" i="20"/>
  <c r="AP11" i="20"/>
  <c r="AM24" i="20"/>
  <c r="AN24" i="20" s="1"/>
  <c r="AM20" i="20"/>
  <c r="AO20" i="20" s="1"/>
  <c r="AL11" i="20"/>
  <c r="AM21" i="20"/>
  <c r="AN21" i="20" s="1"/>
  <c r="AL19" i="20"/>
  <c r="AM19" i="20"/>
  <c r="AN19" i="20" s="1"/>
  <c r="AM9" i="20"/>
  <c r="AM15" i="20"/>
  <c r="AL22" i="20"/>
  <c r="AM17" i="20"/>
  <c r="AO17" i="20" s="1"/>
  <c r="AM10" i="20"/>
  <c r="AL12" i="20"/>
  <c r="AN11" i="20"/>
  <c r="AM23" i="20"/>
  <c r="AN22" i="20"/>
  <c r="AN12" i="20"/>
  <c r="AF18" i="7"/>
  <c r="AG18" i="7"/>
  <c r="AH18" i="7"/>
  <c r="AF19" i="7"/>
  <c r="AG19" i="7"/>
  <c r="AI19" i="7" s="1"/>
  <c r="AH19" i="7"/>
  <c r="AJ19" i="7" s="1"/>
  <c r="AF35" i="7"/>
  <c r="AH35" i="7" s="1"/>
  <c r="AG35" i="7"/>
  <c r="AI35" i="7" s="1"/>
  <c r="AF37" i="7"/>
  <c r="AG37" i="7"/>
  <c r="AI37" i="7" s="1"/>
  <c r="AH37" i="7"/>
  <c r="S18" i="7"/>
  <c r="T18" i="7"/>
  <c r="U18" i="7"/>
  <c r="S19" i="7"/>
  <c r="T19" i="7"/>
  <c r="V19" i="7" s="1"/>
  <c r="U19" i="7"/>
  <c r="W19" i="7" s="1"/>
  <c r="S35" i="7"/>
  <c r="U35" i="7" s="1"/>
  <c r="T35" i="7"/>
  <c r="V35" i="7" s="1"/>
  <c r="S37" i="7"/>
  <c r="U37" i="7" s="1"/>
  <c r="T37" i="7"/>
  <c r="V37" i="7" s="1"/>
  <c r="I10" i="7"/>
  <c r="H10" i="7"/>
  <c r="J10" i="7" s="1"/>
  <c r="G12" i="7"/>
  <c r="I12" i="7" s="1"/>
  <c r="H12" i="7"/>
  <c r="J12" i="7" s="1"/>
  <c r="G13" i="7"/>
  <c r="I13" i="7" s="1"/>
  <c r="H13" i="7"/>
  <c r="G14" i="7"/>
  <c r="H14" i="7"/>
  <c r="H15" i="7"/>
  <c r="G15" i="7"/>
  <c r="I15" i="7" s="1"/>
  <c r="G16" i="7"/>
  <c r="I16" i="7" s="1"/>
  <c r="H16" i="7"/>
  <c r="J16" i="7" s="1"/>
  <c r="G17" i="7"/>
  <c r="I17" i="7" s="1"/>
  <c r="H17" i="7"/>
  <c r="J17" i="7" s="1"/>
  <c r="G18" i="7"/>
  <c r="H18" i="7"/>
  <c r="G19" i="7"/>
  <c r="I19" i="7" s="1"/>
  <c r="H19" i="7"/>
  <c r="H20" i="7"/>
  <c r="G20" i="7"/>
  <c r="I20" i="7" s="1"/>
  <c r="H21" i="7"/>
  <c r="G21" i="7"/>
  <c r="I21" i="7" s="1"/>
  <c r="G22" i="7"/>
  <c r="I22" i="7" s="1"/>
  <c r="H22" i="7"/>
  <c r="J22" i="7" s="1"/>
  <c r="G23" i="7"/>
  <c r="I23" i="7" s="1"/>
  <c r="H23" i="7"/>
  <c r="G24" i="7"/>
  <c r="I24" i="7" s="1"/>
  <c r="H24" i="7"/>
  <c r="G25" i="7"/>
  <c r="I25" i="7" s="1"/>
  <c r="H25" i="7"/>
  <c r="G26" i="7"/>
  <c r="I26" i="7" s="1"/>
  <c r="H26" i="7"/>
  <c r="J26" i="7" s="1"/>
  <c r="H27" i="7"/>
  <c r="G27" i="7"/>
  <c r="I27" i="7" s="1"/>
  <c r="G31" i="7"/>
  <c r="I31" i="7" s="1"/>
  <c r="H31" i="7"/>
  <c r="G32" i="7"/>
  <c r="H32" i="7"/>
  <c r="G33" i="7"/>
  <c r="I33" i="7" s="1"/>
  <c r="H33" i="7"/>
  <c r="G34" i="7"/>
  <c r="H34" i="7"/>
  <c r="F35" i="7"/>
  <c r="H35" i="7" s="1"/>
  <c r="G35" i="7"/>
  <c r="I35" i="7" s="1"/>
  <c r="J33" i="7" l="1"/>
  <c r="J45" i="7"/>
  <c r="J19" i="7"/>
  <c r="W35" i="7"/>
  <c r="J35" i="7"/>
  <c r="J20" i="7"/>
  <c r="AN10" i="20"/>
  <c r="AO10" i="20"/>
  <c r="AN17" i="20"/>
  <c r="AN13" i="20"/>
  <c r="AN15" i="20"/>
  <c r="AO15" i="20"/>
  <c r="AN9" i="20"/>
  <c r="AO9" i="20"/>
  <c r="AP9" i="20" s="1"/>
  <c r="AN23" i="20"/>
  <c r="AN20" i="20"/>
  <c r="S9" i="7" l="1"/>
  <c r="U9" i="7" s="1"/>
  <c r="AK15" i="8" l="1"/>
  <c r="C15" i="8"/>
  <c r="U15" i="8"/>
  <c r="S15" i="8"/>
  <c r="R15" i="8" l="1"/>
  <c r="AG15" i="8"/>
  <c r="AM15" i="8"/>
  <c r="AN15" i="8"/>
  <c r="X15" i="8"/>
  <c r="Y15" i="8"/>
  <c r="Z15" i="8"/>
  <c r="W15" i="8"/>
  <c r="AL15" i="8"/>
  <c r="AP15" i="8" s="1"/>
  <c r="AO15" i="8"/>
  <c r="C37" i="7"/>
  <c r="Q37" i="7"/>
  <c r="W37" i="7" s="1"/>
  <c r="AD37" i="7"/>
  <c r="AJ37" i="7" s="1"/>
  <c r="AJ35" i="7"/>
  <c r="C19" i="7"/>
  <c r="Q19" i="7"/>
  <c r="AD19" i="7"/>
  <c r="C18" i="7"/>
  <c r="Q18" i="7"/>
  <c r="AD18" i="7"/>
  <c r="AC19" i="7" l="1"/>
  <c r="P19" i="7"/>
  <c r="AC18" i="7"/>
  <c r="P18" i="7"/>
  <c r="AC37" i="7"/>
  <c r="P37" i="7"/>
  <c r="AA15" i="8"/>
  <c r="AK21" i="8"/>
  <c r="AK20" i="8"/>
  <c r="AP20" i="8" s="1"/>
  <c r="AK19" i="8"/>
  <c r="AP19" i="8" s="1"/>
  <c r="AK18" i="8"/>
  <c r="AP18" i="8" s="1"/>
  <c r="AK17" i="8"/>
  <c r="AP17" i="8" s="1"/>
  <c r="AK16" i="8"/>
  <c r="AK14" i="8"/>
  <c r="AK13" i="8"/>
  <c r="AP13" i="8" s="1"/>
  <c r="AK12" i="8"/>
  <c r="AK11" i="8"/>
  <c r="AK10" i="8"/>
  <c r="U11" i="8"/>
  <c r="U12" i="8"/>
  <c r="U13" i="8"/>
  <c r="U14" i="8"/>
  <c r="U16" i="8"/>
  <c r="U17" i="8"/>
  <c r="U18" i="8"/>
  <c r="U19" i="8"/>
  <c r="U20" i="8"/>
  <c r="U21" i="8"/>
  <c r="U10" i="8"/>
  <c r="S11" i="8"/>
  <c r="S12" i="8"/>
  <c r="S13" i="8"/>
  <c r="S14" i="8"/>
  <c r="S10" i="8"/>
  <c r="AM11" i="8" l="1"/>
  <c r="AP11" i="8"/>
  <c r="AM10" i="8"/>
  <c r="AN20" i="8"/>
  <c r="AM20" i="8"/>
  <c r="AN21" i="8"/>
  <c r="AM21" i="8"/>
  <c r="AM19" i="8"/>
  <c r="AN19" i="8"/>
  <c r="AN18" i="8"/>
  <c r="AM18" i="8"/>
  <c r="AM17" i="8"/>
  <c r="AN17" i="8"/>
  <c r="AM13" i="8"/>
  <c r="AN13" i="8"/>
  <c r="AM14" i="8"/>
  <c r="AN14" i="8"/>
  <c r="AM16" i="8"/>
  <c r="AN16" i="8"/>
  <c r="AN12" i="8"/>
  <c r="AM12" i="8"/>
  <c r="X11" i="8"/>
  <c r="Y11" i="8"/>
  <c r="AN10" i="8"/>
  <c r="Y21" i="8"/>
  <c r="X21" i="8"/>
  <c r="Y20" i="8"/>
  <c r="X20" i="8"/>
  <c r="AN11" i="8"/>
  <c r="Y10" i="8"/>
  <c r="X10" i="8"/>
  <c r="Y19" i="8"/>
  <c r="X19" i="8"/>
  <c r="X14" i="8"/>
  <c r="Y14" i="8"/>
  <c r="X12" i="8"/>
  <c r="Y12" i="8"/>
  <c r="X17" i="8"/>
  <c r="Y17" i="8"/>
  <c r="Y18" i="8"/>
  <c r="X18" i="8"/>
  <c r="Y16" i="8"/>
  <c r="X16" i="8"/>
  <c r="X13" i="8"/>
  <c r="Y13" i="8"/>
  <c r="Z21" i="8"/>
  <c r="W21" i="8"/>
  <c r="AO12" i="8"/>
  <c r="AL12" i="8"/>
  <c r="Z14" i="8"/>
  <c r="W14" i="8"/>
  <c r="AO19" i="8"/>
  <c r="AL19" i="8"/>
  <c r="W13" i="8"/>
  <c r="Z13" i="8"/>
  <c r="AL20" i="8"/>
  <c r="AO20" i="8"/>
  <c r="Z12" i="8"/>
  <c r="W12" i="8"/>
  <c r="AO21" i="8"/>
  <c r="AL21" i="8"/>
  <c r="Z11" i="8"/>
  <c r="W11" i="8"/>
  <c r="AO10" i="8"/>
  <c r="AL10" i="8"/>
  <c r="Z10" i="8"/>
  <c r="W10" i="8"/>
  <c r="AL11" i="8"/>
  <c r="AO11" i="8"/>
  <c r="W20" i="8"/>
  <c r="Z20" i="8"/>
  <c r="AO13" i="8"/>
  <c r="AL13" i="8"/>
  <c r="W19" i="8"/>
  <c r="Z19" i="8"/>
  <c r="AL14" i="8"/>
  <c r="AP14" i="8" s="1"/>
  <c r="AO14" i="8"/>
  <c r="W18" i="8"/>
  <c r="Z18" i="8"/>
  <c r="AL16" i="8"/>
  <c r="AO16" i="8"/>
  <c r="W17" i="8"/>
  <c r="Z17" i="8"/>
  <c r="AL17" i="8"/>
  <c r="AO17" i="8"/>
  <c r="W16" i="8"/>
  <c r="Z16" i="8"/>
  <c r="AL18" i="8"/>
  <c r="AO18" i="8"/>
  <c r="AP21" i="8" l="1"/>
  <c r="AA21" i="8"/>
  <c r="AA12" i="8"/>
  <c r="AP16" i="8"/>
  <c r="AA16" i="8"/>
  <c r="AP12" i="8"/>
  <c r="AA14" i="8"/>
  <c r="AA11" i="8"/>
  <c r="C14" i="8"/>
  <c r="C13" i="8"/>
  <c r="C11" i="8"/>
  <c r="C10" i="8"/>
  <c r="AG11" i="8" l="1"/>
  <c r="R11" i="8"/>
  <c r="AG14" i="8"/>
  <c r="R14" i="8"/>
  <c r="AG13" i="8"/>
  <c r="R13" i="8"/>
  <c r="L10" i="8"/>
  <c r="R10" i="8"/>
  <c r="AA10" i="8" s="1"/>
  <c r="AG10" i="8"/>
  <c r="AP10" i="8" s="1"/>
  <c r="C17" i="7"/>
  <c r="AC17" i="7" l="1"/>
  <c r="P17" i="7"/>
  <c r="AD34" i="7"/>
  <c r="Q34" i="7"/>
  <c r="AD33" i="7"/>
  <c r="Q33" i="7"/>
  <c r="AD32" i="7"/>
  <c r="Q32" i="7"/>
  <c r="AD31" i="7"/>
  <c r="Q31" i="7"/>
  <c r="C31" i="7"/>
  <c r="J31" i="7" s="1"/>
  <c r="AD27" i="7"/>
  <c r="Q27" i="7"/>
  <c r="C27" i="7"/>
  <c r="AD26" i="7"/>
  <c r="Q26" i="7"/>
  <c r="C26" i="7"/>
  <c r="AD25" i="7"/>
  <c r="Q25" i="7"/>
  <c r="C25" i="7"/>
  <c r="AD24" i="7"/>
  <c r="Q24" i="7"/>
  <c r="C24" i="7"/>
  <c r="AD23" i="7"/>
  <c r="Q23" i="7"/>
  <c r="C23" i="7"/>
  <c r="AD22" i="7"/>
  <c r="Q22" i="7"/>
  <c r="C22" i="7"/>
  <c r="AD21" i="7"/>
  <c r="Q21" i="7"/>
  <c r="C21" i="7"/>
  <c r="AD20" i="7"/>
  <c r="Q20" i="7"/>
  <c r="C20" i="7"/>
  <c r="AD17" i="7"/>
  <c r="Q17" i="7"/>
  <c r="AD16" i="7"/>
  <c r="Q16" i="7"/>
  <c r="C16" i="7"/>
  <c r="AD15" i="7"/>
  <c r="Q15" i="7"/>
  <c r="C15" i="7"/>
  <c r="AD14" i="7"/>
  <c r="Q14" i="7"/>
  <c r="C14" i="7"/>
  <c r="AD13" i="7"/>
  <c r="Q13" i="7"/>
  <c r="J13" i="7"/>
  <c r="AD12" i="7"/>
  <c r="Q12" i="7"/>
  <c r="C12" i="7"/>
  <c r="AD10" i="7"/>
  <c r="Q10" i="7"/>
  <c r="AD9" i="7"/>
  <c r="W9" i="7"/>
  <c r="AC14" i="7" l="1"/>
  <c r="P14" i="7"/>
  <c r="AC22" i="7"/>
  <c r="P22" i="7"/>
  <c r="J24" i="7"/>
  <c r="AC24" i="7"/>
  <c r="P24" i="7"/>
  <c r="AC16" i="7"/>
  <c r="P16" i="7"/>
  <c r="AC31" i="7"/>
  <c r="P31" i="7"/>
  <c r="J21" i="7"/>
  <c r="AC21" i="7"/>
  <c r="P21" i="7"/>
  <c r="J23" i="7"/>
  <c r="AC23" i="7"/>
  <c r="P23" i="7"/>
  <c r="J25" i="7"/>
  <c r="AC25" i="7"/>
  <c r="P25" i="7"/>
  <c r="J27" i="7"/>
  <c r="AC27" i="7"/>
  <c r="P27" i="7"/>
  <c r="W27" i="7" s="1"/>
  <c r="AC20" i="7"/>
  <c r="P20" i="7"/>
  <c r="AC26" i="7"/>
  <c r="P26" i="7"/>
  <c r="P12" i="7"/>
  <c r="AC12" i="7"/>
  <c r="J15" i="7"/>
  <c r="AC15" i="7"/>
  <c r="P15" i="7"/>
  <c r="V14" i="7"/>
  <c r="W14" i="7"/>
  <c r="V34" i="7"/>
  <c r="W34" i="7"/>
  <c r="V26" i="7"/>
  <c r="V12" i="7"/>
  <c r="V32" i="7"/>
  <c r="W32" i="7"/>
  <c r="S34" i="7"/>
  <c r="T34" i="7"/>
  <c r="U34" i="7"/>
  <c r="S25" i="7"/>
  <c r="U25" i="7" s="1"/>
  <c r="T25" i="7"/>
  <c r="V25" i="7" s="1"/>
  <c r="S23" i="7"/>
  <c r="U23" i="7" s="1"/>
  <c r="T23" i="7"/>
  <c r="V23" i="7" s="1"/>
  <c r="S33" i="7"/>
  <c r="U33" i="7" s="1"/>
  <c r="T33" i="7"/>
  <c r="V33" i="7" s="1"/>
  <c r="S31" i="7"/>
  <c r="U31" i="7" s="1"/>
  <c r="T31" i="7"/>
  <c r="V31" i="7" s="1"/>
  <c r="S16" i="7"/>
  <c r="U16" i="7" s="1"/>
  <c r="T16" i="7"/>
  <c r="V16" i="7" s="1"/>
  <c r="S26" i="7"/>
  <c r="T26" i="7"/>
  <c r="U26" i="7"/>
  <c r="W26" i="7" s="1"/>
  <c r="S10" i="7"/>
  <c r="U10" i="7" s="1"/>
  <c r="T10" i="7"/>
  <c r="V10" i="7" s="1"/>
  <c r="S14" i="7"/>
  <c r="T14" i="7"/>
  <c r="U14" i="7"/>
  <c r="S12" i="7"/>
  <c r="T12" i="7"/>
  <c r="U12" i="7"/>
  <c r="W12" i="7" s="1"/>
  <c r="S17" i="7"/>
  <c r="U17" i="7" s="1"/>
  <c r="T17" i="7"/>
  <c r="V17" i="7" s="1"/>
  <c r="T24" i="7"/>
  <c r="V24" i="7" s="1"/>
  <c r="S24" i="7"/>
  <c r="U24" i="7" s="1"/>
  <c r="T32" i="7"/>
  <c r="S32" i="7"/>
  <c r="U32" i="7"/>
  <c r="S22" i="7"/>
  <c r="T22" i="7"/>
  <c r="V22" i="7" s="1"/>
  <c r="U22" i="7"/>
  <c r="W22" i="7" s="1"/>
  <c r="T13" i="7"/>
  <c r="V13" i="7" s="1"/>
  <c r="S13" i="7"/>
  <c r="U13" i="7" s="1"/>
  <c r="S20" i="7"/>
  <c r="U20" i="7" s="1"/>
  <c r="T20" i="7"/>
  <c r="V20" i="7" s="1"/>
  <c r="S21" i="7"/>
  <c r="U21" i="7" s="1"/>
  <c r="T21" i="7"/>
  <c r="V21" i="7" s="1"/>
  <c r="S15" i="7"/>
  <c r="U15" i="7" s="1"/>
  <c r="T15" i="7"/>
  <c r="V15" i="7" s="1"/>
  <c r="AE9" i="7"/>
  <c r="W10" i="7" l="1"/>
  <c r="W33" i="7"/>
  <c r="W24" i="7"/>
  <c r="W15" i="7"/>
  <c r="W20" i="7"/>
  <c r="W17" i="7"/>
  <c r="W16" i="7"/>
  <c r="W31" i="7"/>
  <c r="W13" i="7"/>
  <c r="W25" i="7"/>
  <c r="AI32" i="7"/>
  <c r="AJ32" i="7"/>
  <c r="AI22" i="7"/>
  <c r="AI34" i="7"/>
  <c r="AJ34" i="7"/>
  <c r="AI14" i="7"/>
  <c r="AJ14" i="7"/>
  <c r="W23" i="7"/>
  <c r="W21" i="7"/>
  <c r="AG12" i="7"/>
  <c r="AI12" i="7" s="1"/>
  <c r="AJ12" i="7" s="1"/>
  <c r="AF12" i="7"/>
  <c r="AH12" i="7"/>
  <c r="AF25" i="7"/>
  <c r="AH25" i="7" s="1"/>
  <c r="AG25" i="7"/>
  <c r="AI25" i="7" s="1"/>
  <c r="AF14" i="7"/>
  <c r="AG14" i="7"/>
  <c r="AH14" i="7"/>
  <c r="AG31" i="7"/>
  <c r="AI31" i="7" s="1"/>
  <c r="AF31" i="7"/>
  <c r="AH31" i="7" s="1"/>
  <c r="AF32" i="7"/>
  <c r="AG32" i="7"/>
  <c r="AH32" i="7"/>
  <c r="AF22" i="7"/>
  <c r="AG22" i="7"/>
  <c r="AH22" i="7"/>
  <c r="AJ22" i="7" s="1"/>
  <c r="AF13" i="7"/>
  <c r="AH13" i="7" s="1"/>
  <c r="AG13" i="7"/>
  <c r="AI13" i="7" s="1"/>
  <c r="AG23" i="7"/>
  <c r="AI23" i="7" s="1"/>
  <c r="AF23" i="7"/>
  <c r="AH23" i="7" s="1"/>
  <c r="AF26" i="7"/>
  <c r="AH26" i="7" s="1"/>
  <c r="AG26" i="7"/>
  <c r="AI26" i="7" s="1"/>
  <c r="AF16" i="7"/>
  <c r="AG16" i="7"/>
  <c r="AI16" i="7" s="1"/>
  <c r="AH16" i="7"/>
  <c r="AJ16" i="7" s="1"/>
  <c r="AF24" i="7"/>
  <c r="AH24" i="7" s="1"/>
  <c r="AG24" i="7"/>
  <c r="AI24" i="7" s="1"/>
  <c r="AF33" i="7"/>
  <c r="AH33" i="7" s="1"/>
  <c r="AG33" i="7"/>
  <c r="AI33" i="7" s="1"/>
  <c r="AF10" i="7"/>
  <c r="AH10" i="7" s="1"/>
  <c r="AI10" i="7"/>
  <c r="AG17" i="7"/>
  <c r="AI17" i="7" s="1"/>
  <c r="AF17" i="7"/>
  <c r="AH17" i="7" s="1"/>
  <c r="AF34" i="7"/>
  <c r="AG34" i="7"/>
  <c r="AH34" i="7"/>
  <c r="AF20" i="7"/>
  <c r="AG20" i="7"/>
  <c r="AI20" i="7" s="1"/>
  <c r="AH20" i="7"/>
  <c r="AJ20" i="7" s="1"/>
  <c r="AG27" i="7"/>
  <c r="AI27" i="7" s="1"/>
  <c r="AF27" i="7"/>
  <c r="AH27" i="7" s="1"/>
  <c r="AF21" i="7"/>
  <c r="AH21" i="7" s="1"/>
  <c r="AG21" i="7"/>
  <c r="AI21" i="7" s="1"/>
  <c r="AF15" i="7"/>
  <c r="AH15" i="7" s="1"/>
  <c r="AG15" i="7"/>
  <c r="AI15" i="7" s="1"/>
  <c r="AG9" i="7"/>
  <c r="AI9" i="7" s="1"/>
  <c r="AF9" i="7"/>
  <c r="AH9" i="7" s="1"/>
  <c r="AJ9" i="7" l="1"/>
  <c r="AJ10" i="7"/>
  <c r="AJ33" i="7"/>
  <c r="AJ17" i="7"/>
  <c r="AJ15" i="7"/>
  <c r="AJ26" i="7"/>
  <c r="AJ31" i="7"/>
  <c r="AJ25" i="7"/>
  <c r="AJ13" i="7"/>
  <c r="AJ24" i="7"/>
  <c r="AJ21" i="7"/>
  <c r="AJ27" i="7"/>
  <c r="AJ23" i="7"/>
  <c r="Z8" i="1"/>
  <c r="Z9" i="1"/>
  <c r="Z10" i="1"/>
  <c r="Z11" i="1"/>
  <c r="Z12" i="1"/>
  <c r="Z13" i="1"/>
  <c r="Z14" i="1"/>
  <c r="Z15" i="1"/>
  <c r="Z16" i="1"/>
  <c r="Z17" i="1"/>
  <c r="Z18" i="1"/>
  <c r="Z19" i="1"/>
  <c r="Z20" i="1"/>
  <c r="Z21" i="1"/>
  <c r="Z22" i="1"/>
  <c r="Z23" i="1"/>
  <c r="Z24" i="1"/>
  <c r="Z25" i="1"/>
  <c r="Z26" i="1"/>
  <c r="Z7" i="1"/>
  <c r="P8" i="1" l="1"/>
  <c r="P9" i="1"/>
  <c r="AA9" i="1" s="1"/>
  <c r="AD9" i="1" s="1"/>
  <c r="P10" i="1"/>
  <c r="AA10" i="1" s="1"/>
  <c r="AD10" i="1" s="1"/>
  <c r="P11" i="1"/>
  <c r="AA11" i="1" s="1"/>
  <c r="AD11" i="1" s="1"/>
  <c r="P12" i="1"/>
  <c r="AA12" i="1" s="1"/>
  <c r="AD12" i="1" s="1"/>
  <c r="P13" i="1"/>
  <c r="AA13" i="1" s="1"/>
  <c r="AD13" i="1" s="1"/>
  <c r="P14" i="1"/>
  <c r="AA14" i="1" s="1"/>
  <c r="P15" i="1"/>
  <c r="AA15" i="1" s="1"/>
  <c r="P16" i="1"/>
  <c r="S16" i="1" s="1"/>
  <c r="P17" i="1"/>
  <c r="AA17" i="1" s="1"/>
  <c r="P18" i="1"/>
  <c r="AA18" i="1" s="1"/>
  <c r="P19" i="1"/>
  <c r="S19" i="1" s="1"/>
  <c r="P20" i="1"/>
  <c r="P21" i="1"/>
  <c r="AA21" i="1" s="1"/>
  <c r="AD21" i="1" s="1"/>
  <c r="P22" i="1"/>
  <c r="AA22" i="1" s="1"/>
  <c r="P23" i="1"/>
  <c r="S23" i="1" s="1"/>
  <c r="P24" i="1"/>
  <c r="S24" i="1" s="1"/>
  <c r="P25" i="1"/>
  <c r="AA25" i="1" s="1"/>
  <c r="AD25" i="1" s="1"/>
  <c r="P26" i="1"/>
  <c r="AA26" i="1" s="1"/>
  <c r="AD26" i="1" s="1"/>
  <c r="P7" i="1"/>
  <c r="AB26" i="1"/>
  <c r="AB25" i="1"/>
  <c r="AB24" i="1"/>
  <c r="AB23" i="1"/>
  <c r="AB22" i="1"/>
  <c r="AB21" i="1"/>
  <c r="AB20" i="1"/>
  <c r="AB19" i="1"/>
  <c r="AB18" i="1"/>
  <c r="AB17" i="1"/>
  <c r="AB16" i="1"/>
  <c r="AB15" i="1"/>
  <c r="AB14" i="1"/>
  <c r="AB13" i="1"/>
  <c r="AB12" i="1"/>
  <c r="AB11" i="1"/>
  <c r="AB10" i="1"/>
  <c r="AB9" i="1"/>
  <c r="AB8" i="1"/>
  <c r="AB7" i="1"/>
  <c r="Q8" i="1"/>
  <c r="R8" i="1" s="1"/>
  <c r="Q9" i="1"/>
  <c r="R9" i="1" s="1"/>
  <c r="Q10" i="1"/>
  <c r="AC10" i="1" s="1"/>
  <c r="Q11" i="1"/>
  <c r="AC11" i="1" s="1"/>
  <c r="Q12" i="1"/>
  <c r="R12" i="1" s="1"/>
  <c r="Q13" i="1"/>
  <c r="R13" i="1" s="1"/>
  <c r="Q14" i="1"/>
  <c r="R14" i="1" s="1"/>
  <c r="Q15" i="1"/>
  <c r="AC15" i="1" s="1"/>
  <c r="Q16" i="1"/>
  <c r="R16" i="1" s="1"/>
  <c r="Q17" i="1"/>
  <c r="R17" i="1" s="1"/>
  <c r="Q18" i="1"/>
  <c r="AC18" i="1" s="1"/>
  <c r="Q19" i="1"/>
  <c r="AC19" i="1" s="1"/>
  <c r="Q20" i="1"/>
  <c r="R20" i="1" s="1"/>
  <c r="Q21" i="1"/>
  <c r="R21" i="1" s="1"/>
  <c r="Q22" i="1"/>
  <c r="R22" i="1" s="1"/>
  <c r="Q23" i="1"/>
  <c r="AC23" i="1" s="1"/>
  <c r="Q24" i="1"/>
  <c r="R24" i="1" s="1"/>
  <c r="Q25" i="1"/>
  <c r="R25" i="1" s="1"/>
  <c r="Q26" i="1"/>
  <c r="Q7" i="1"/>
  <c r="AC7" i="1" s="1"/>
  <c r="F8" i="1"/>
  <c r="G8" i="1" s="1"/>
  <c r="H8" i="1" s="1"/>
  <c r="F9" i="1"/>
  <c r="G9" i="1" s="1"/>
  <c r="F10" i="1"/>
  <c r="G10" i="1" s="1"/>
  <c r="F11" i="1"/>
  <c r="G11" i="1" s="1"/>
  <c r="F12" i="1"/>
  <c r="G12" i="1" s="1"/>
  <c r="F13" i="1"/>
  <c r="G13" i="1" s="1"/>
  <c r="F14" i="1"/>
  <c r="G14" i="1" s="1"/>
  <c r="H14" i="1" s="1"/>
  <c r="F15" i="1"/>
  <c r="G15" i="1" s="1"/>
  <c r="H15" i="1" s="1"/>
  <c r="F16" i="1"/>
  <c r="G16" i="1" s="1"/>
  <c r="F17" i="1"/>
  <c r="G17" i="1" s="1"/>
  <c r="H17" i="1" s="1"/>
  <c r="F18" i="1"/>
  <c r="G18" i="1" s="1"/>
  <c r="H18" i="1" s="1"/>
  <c r="F19" i="1"/>
  <c r="G19" i="1" s="1"/>
  <c r="F20" i="1"/>
  <c r="G20" i="1" s="1"/>
  <c r="H20" i="1" s="1"/>
  <c r="F21" i="1"/>
  <c r="G21" i="1" s="1"/>
  <c r="F22" i="1"/>
  <c r="G22" i="1" s="1"/>
  <c r="H22" i="1" s="1"/>
  <c r="F23" i="1"/>
  <c r="G23" i="1" s="1"/>
  <c r="F24" i="1"/>
  <c r="G24" i="1" s="1"/>
  <c r="F25" i="1"/>
  <c r="G25" i="1" s="1"/>
  <c r="F26" i="1"/>
  <c r="G26" i="1" s="1"/>
  <c r="F7" i="1"/>
  <c r="G7" i="1" s="1"/>
  <c r="H7" i="1" s="1"/>
  <c r="Y10" i="1"/>
  <c r="Y13" i="1"/>
  <c r="Y14" i="1"/>
  <c r="Y17" i="1"/>
  <c r="Y18" i="1"/>
  <c r="Y22" i="1"/>
  <c r="Y26" i="1"/>
  <c r="Y7" i="1"/>
  <c r="O8" i="1"/>
  <c r="N8" i="1" s="1"/>
  <c r="O9" i="1"/>
  <c r="O10" i="1"/>
  <c r="O11" i="1"/>
  <c r="O12" i="1"/>
  <c r="O13" i="1"/>
  <c r="O14" i="1"/>
  <c r="O15" i="1"/>
  <c r="O16" i="1"/>
  <c r="O17" i="1"/>
  <c r="O18" i="1"/>
  <c r="O19" i="1"/>
  <c r="O20" i="1"/>
  <c r="O21" i="1"/>
  <c r="O22" i="1"/>
  <c r="O23" i="1"/>
  <c r="O24" i="1"/>
  <c r="O25" i="1"/>
  <c r="O26" i="1"/>
  <c r="O7" i="1"/>
  <c r="N7" i="1" s="1"/>
  <c r="N9" i="1" s="1"/>
  <c r="S9" i="1"/>
  <c r="H9" i="1"/>
  <c r="H10" i="1"/>
  <c r="H11" i="1"/>
  <c r="H12" i="1"/>
  <c r="H13" i="1"/>
  <c r="H16" i="1"/>
  <c r="H19" i="1"/>
  <c r="H21" i="1"/>
  <c r="H23" i="1"/>
  <c r="H24" i="1"/>
  <c r="H25" i="1"/>
  <c r="H26" i="1"/>
  <c r="Y25" i="1"/>
  <c r="Y24" i="1"/>
  <c r="Y23" i="1"/>
  <c r="Y21" i="1"/>
  <c r="Y20" i="1"/>
  <c r="Y19" i="1"/>
  <c r="Y16" i="1"/>
  <c r="Y15" i="1"/>
  <c r="Y12" i="1"/>
  <c r="Y11" i="1"/>
  <c r="Y9" i="1"/>
  <c r="Y8" i="1"/>
  <c r="C23" i="1"/>
  <c r="C8" i="1"/>
  <c r="C9" i="1"/>
  <c r="C10" i="1"/>
  <c r="C11" i="1"/>
  <c r="C12" i="1"/>
  <c r="C13" i="1"/>
  <c r="C14" i="1"/>
  <c r="C15" i="1"/>
  <c r="C16" i="1"/>
  <c r="C17" i="1"/>
  <c r="C18" i="1"/>
  <c r="C19" i="1"/>
  <c r="C20" i="1"/>
  <c r="C21" i="1"/>
  <c r="C22" i="1"/>
  <c r="C24" i="1"/>
  <c r="C25" i="1"/>
  <c r="C26" i="1"/>
  <c r="C7" i="1"/>
  <c r="S11" i="1" l="1"/>
  <c r="N11" i="1"/>
  <c r="N13" i="1" s="1"/>
  <c r="N15" i="1" s="1"/>
  <c r="N17" i="1" s="1"/>
  <c r="N19" i="1" s="1"/>
  <c r="N21" i="1" s="1"/>
  <c r="N23" i="1" s="1"/>
  <c r="N25" i="1" s="1"/>
  <c r="S13" i="1"/>
  <c r="AD15" i="1"/>
  <c r="S17" i="1"/>
  <c r="S21" i="1"/>
  <c r="S10" i="1"/>
  <c r="S25" i="1"/>
  <c r="S26" i="1"/>
  <c r="R10" i="1"/>
  <c r="AA19" i="1"/>
  <c r="AD19" i="1" s="1"/>
  <c r="H28" i="1"/>
  <c r="AD18" i="1"/>
  <c r="S8" i="1"/>
  <c r="S22" i="1"/>
  <c r="S20" i="1"/>
  <c r="S14" i="1"/>
  <c r="AC14" i="1"/>
  <c r="AD14" i="1" s="1"/>
  <c r="R26" i="1"/>
  <c r="R11" i="1"/>
  <c r="R19" i="1"/>
  <c r="AC22" i="1"/>
  <c r="AD22" i="1" s="1"/>
  <c r="R18" i="1"/>
  <c r="S18" i="1" s="1"/>
  <c r="AC26" i="1"/>
  <c r="AA23" i="1"/>
  <c r="AD23" i="1" s="1"/>
  <c r="AC20" i="1"/>
  <c r="AC8" i="1"/>
  <c r="AD28" i="1" s="1"/>
  <c r="AC16" i="1"/>
  <c r="AC24" i="1"/>
  <c r="AC12" i="1"/>
  <c r="R23" i="1"/>
  <c r="R15" i="1"/>
  <c r="S15" i="1" s="1"/>
  <c r="S12" i="1"/>
  <c r="AA8" i="1"/>
  <c r="AA16" i="1"/>
  <c r="AD16" i="1" s="1"/>
  <c r="AA20" i="1"/>
  <c r="AA24" i="1"/>
  <c r="AD24" i="1" s="1"/>
  <c r="AC9" i="1"/>
  <c r="AC13" i="1"/>
  <c r="AC17" i="1"/>
  <c r="AD17" i="1" s="1"/>
  <c r="AC21" i="1"/>
  <c r="AC25" i="1"/>
  <c r="R7" i="1"/>
  <c r="S28" i="1" s="1"/>
  <c r="AA7" i="1"/>
  <c r="AD7" i="1" s="1"/>
  <c r="N10" i="1"/>
  <c r="N12" i="1" s="1"/>
  <c r="N14" i="1" s="1"/>
  <c r="N16" i="1" s="1"/>
  <c r="N18" i="1" s="1"/>
  <c r="N20" i="1" s="1"/>
  <c r="N22" i="1" s="1"/>
  <c r="N24" i="1" s="1"/>
  <c r="N26" i="1" s="1"/>
  <c r="S7" i="1" l="1"/>
  <c r="AD8" i="1"/>
  <c r="AD20" i="1"/>
  <c r="AI9" i="20"/>
  <c r="AI24" i="20"/>
  <c r="AI17" i="20"/>
  <c r="AP17" i="20" s="1"/>
  <c r="AI22" i="20"/>
  <c r="AI20" i="20"/>
  <c r="AP20" i="20" s="1"/>
  <c r="AI10" i="20"/>
  <c r="AP10" i="20" s="1"/>
  <c r="AI11" i="20"/>
  <c r="AI23" i="20"/>
  <c r="AI13" i="20"/>
  <c r="AP13" i="20" s="1"/>
  <c r="AI21" i="20"/>
  <c r="AI16" i="20"/>
  <c r="AI14" i="20"/>
  <c r="AI15" i="20"/>
  <c r="AP15" i="20" s="1"/>
  <c r="AI12" i="20"/>
  <c r="AI19"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김애진</author>
    <author>09-D3217</author>
    <author>D362</author>
    <author>Hee Jeong, Jang</author>
  </authors>
  <commentList>
    <comment ref="A7" authorId="0" shapeId="0" xr:uid="{00000000-0006-0000-0100-000001000000}">
      <text>
        <r>
          <rPr>
            <sz val="9"/>
            <color indexed="81"/>
            <rFont val="돋움"/>
            <family val="3"/>
            <charset val="129"/>
          </rPr>
          <t xml:space="preserve">(4) 4) 만 15세 미만의 어린이에 있어서 유효성분의 </t>
        </r>
        <r>
          <rPr>
            <b/>
            <sz val="9"/>
            <color indexed="81"/>
            <rFont val="돋움"/>
            <family val="3"/>
            <charset val="129"/>
          </rPr>
          <t>1회 최대분량 및 1일 최대분량은 &lt;표3&gt;의 해당연령구분에 대응하는 계수란의 수치를 곱한 양</t>
        </r>
        <r>
          <rPr>
            <sz val="9"/>
            <color indexed="81"/>
            <rFont val="돋움"/>
            <family val="3"/>
            <charset val="129"/>
          </rPr>
          <t>으로 한다.</t>
        </r>
      </text>
    </comment>
    <comment ref="AE7" authorId="1" shapeId="0" xr:uid="{00000000-0006-0000-0100-000002000000}">
      <text>
        <r>
          <rPr>
            <sz val="9"/>
            <color indexed="81"/>
            <rFont val="Tahoma"/>
            <family val="2"/>
          </rPr>
          <t xml:space="preserve">(4)2) </t>
        </r>
        <r>
          <rPr>
            <sz val="9"/>
            <color indexed="81"/>
            <rFont val="돋움"/>
            <family val="3"/>
            <charset val="129"/>
          </rPr>
          <t>캡슐제는</t>
        </r>
        <r>
          <rPr>
            <sz val="9"/>
            <color indexed="81"/>
            <rFont val="Tahoma"/>
            <family val="2"/>
          </rPr>
          <t xml:space="preserve"> </t>
        </r>
        <r>
          <rPr>
            <sz val="9"/>
            <color indexed="81"/>
            <rFont val="돋움"/>
            <family val="3"/>
            <charset val="129"/>
          </rPr>
          <t>만</t>
        </r>
        <r>
          <rPr>
            <sz val="9"/>
            <color indexed="81"/>
            <rFont val="Tahoma"/>
            <family val="2"/>
          </rPr>
          <t>7</t>
        </r>
        <r>
          <rPr>
            <sz val="9"/>
            <color indexed="81"/>
            <rFont val="돋움"/>
            <family val="3"/>
            <charset val="129"/>
          </rPr>
          <t>세</t>
        </r>
        <r>
          <rPr>
            <sz val="9"/>
            <color indexed="81"/>
            <rFont val="Tahoma"/>
            <family val="2"/>
          </rPr>
          <t xml:space="preserve"> </t>
        </r>
        <r>
          <rPr>
            <sz val="9"/>
            <color indexed="81"/>
            <rFont val="돋움"/>
            <family val="3"/>
            <charset val="129"/>
          </rPr>
          <t>이하</t>
        </r>
        <r>
          <rPr>
            <sz val="9"/>
            <color indexed="81"/>
            <rFont val="Tahoma"/>
            <family val="2"/>
          </rPr>
          <t xml:space="preserve"> </t>
        </r>
        <r>
          <rPr>
            <sz val="9"/>
            <color indexed="81"/>
            <rFont val="돋움"/>
            <family val="3"/>
            <charset val="129"/>
          </rPr>
          <t>복용을</t>
        </r>
        <r>
          <rPr>
            <sz val="9"/>
            <color indexed="81"/>
            <rFont val="Tahoma"/>
            <family val="2"/>
          </rPr>
          <t xml:space="preserve"> </t>
        </r>
        <r>
          <rPr>
            <sz val="9"/>
            <color indexed="81"/>
            <rFont val="돋움"/>
            <family val="3"/>
            <charset val="129"/>
          </rPr>
          <t>인정하지</t>
        </r>
        <r>
          <rPr>
            <sz val="9"/>
            <color indexed="81"/>
            <rFont val="Tahoma"/>
            <family val="2"/>
          </rPr>
          <t xml:space="preserve"> </t>
        </r>
        <r>
          <rPr>
            <sz val="9"/>
            <color indexed="81"/>
            <rFont val="돋움"/>
            <family val="3"/>
            <charset val="129"/>
          </rPr>
          <t>아니한다</t>
        </r>
        <r>
          <rPr>
            <sz val="9"/>
            <color indexed="81"/>
            <rFont val="Tahoma"/>
            <family val="2"/>
          </rPr>
          <t>.</t>
        </r>
      </text>
    </comment>
    <comment ref="A10" authorId="1" shapeId="0" xr:uid="{00000000-0006-0000-0100-000003000000}">
      <text>
        <r>
          <rPr>
            <b/>
            <sz val="9"/>
            <color indexed="81"/>
            <rFont val="Tahoma"/>
            <family val="2"/>
          </rPr>
          <t>2 (1) 2) 1</t>
        </r>
        <r>
          <rPr>
            <b/>
            <sz val="9"/>
            <color indexed="81"/>
            <rFont val="돋움"/>
            <family val="3"/>
            <charset val="129"/>
          </rPr>
          <t>항의</t>
        </r>
        <r>
          <rPr>
            <b/>
            <sz val="9"/>
            <color indexed="81"/>
            <rFont val="Tahoma"/>
            <family val="2"/>
          </rPr>
          <t xml:space="preserve"> </t>
        </r>
        <r>
          <rPr>
            <b/>
            <sz val="9"/>
            <color indexed="81"/>
            <rFont val="돋움"/>
            <family val="3"/>
            <charset val="129"/>
          </rPr>
          <t>유효성분은</t>
        </r>
        <r>
          <rPr>
            <b/>
            <sz val="9"/>
            <color indexed="81"/>
            <rFont val="Tahoma"/>
            <family val="2"/>
          </rPr>
          <t xml:space="preserve"> 3</t>
        </r>
        <r>
          <rPr>
            <b/>
            <sz val="9"/>
            <color indexed="81"/>
            <rFont val="돋움"/>
            <family val="3"/>
            <charset val="129"/>
          </rPr>
          <t>종까지</t>
        </r>
        <r>
          <rPr>
            <b/>
            <sz val="9"/>
            <color indexed="81"/>
            <rFont val="Tahoma"/>
            <family val="2"/>
          </rPr>
          <t xml:space="preserve"> </t>
        </r>
        <r>
          <rPr>
            <b/>
            <sz val="9"/>
            <color indexed="81"/>
            <rFont val="돋움"/>
            <family val="3"/>
            <charset val="129"/>
          </rPr>
          <t>배합한다</t>
        </r>
        <r>
          <rPr>
            <b/>
            <sz val="9"/>
            <color indexed="81"/>
            <rFont val="Tahoma"/>
            <family val="2"/>
          </rPr>
          <t>.</t>
        </r>
      </text>
    </comment>
    <comment ref="C10" authorId="1" shapeId="0" xr:uid="{00000000-0006-0000-0100-000004000000}">
      <text>
        <r>
          <rPr>
            <sz val="9"/>
            <color indexed="81"/>
            <rFont val="Tahoma"/>
            <family val="2"/>
          </rPr>
          <t>2. (2) 2)
1</t>
        </r>
        <r>
          <rPr>
            <sz val="9"/>
            <color indexed="81"/>
            <rFont val="돋움"/>
            <family val="3"/>
            <charset val="129"/>
          </rPr>
          <t>항의</t>
        </r>
        <r>
          <rPr>
            <sz val="9"/>
            <color indexed="81"/>
            <rFont val="Tahoma"/>
            <family val="2"/>
          </rPr>
          <t xml:space="preserve"> </t>
        </r>
        <r>
          <rPr>
            <sz val="9"/>
            <color indexed="81"/>
            <rFont val="돋움"/>
            <family val="3"/>
            <charset val="129"/>
          </rPr>
          <t>유효성분을</t>
        </r>
        <r>
          <rPr>
            <sz val="9"/>
            <color indexed="81"/>
            <rFont val="Tahoma"/>
            <family val="2"/>
          </rPr>
          <t xml:space="preserve"> 1</t>
        </r>
        <r>
          <rPr>
            <sz val="9"/>
            <color indexed="81"/>
            <rFont val="돋움"/>
            <family val="3"/>
            <charset val="129"/>
          </rPr>
          <t>종</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t>
        </r>
        <r>
          <rPr>
            <sz val="9"/>
            <color indexed="81"/>
            <rFont val="Tahoma"/>
            <family val="2"/>
          </rPr>
          <t xml:space="preserve"> 1</t>
        </r>
        <r>
          <rPr>
            <sz val="9"/>
            <color indexed="81"/>
            <rFont val="돋움"/>
            <family val="3"/>
            <charset val="129"/>
          </rPr>
          <t>회량의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최대분량의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
2. (2) 3) 
1</t>
        </r>
        <r>
          <rPr>
            <sz val="9"/>
            <color indexed="81"/>
            <rFont val="돋움"/>
            <family val="3"/>
            <charset val="129"/>
          </rPr>
          <t>항의</t>
        </r>
        <r>
          <rPr>
            <sz val="9"/>
            <color indexed="81"/>
            <rFont val="Tahoma"/>
            <family val="2"/>
          </rPr>
          <t xml:space="preserve"> </t>
        </r>
        <r>
          <rPr>
            <sz val="9"/>
            <color indexed="81"/>
            <rFont val="돋움"/>
            <family val="3"/>
            <charset val="129"/>
          </rPr>
          <t>유효성분을</t>
        </r>
        <r>
          <rPr>
            <sz val="9"/>
            <color indexed="81"/>
            <rFont val="Tahoma"/>
            <family val="2"/>
          </rPr>
          <t xml:space="preserve"> 2</t>
        </r>
        <r>
          <rPr>
            <sz val="9"/>
            <color indexed="81"/>
            <rFont val="돋움"/>
            <family val="3"/>
            <charset val="129"/>
          </rPr>
          <t>종이상</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또는</t>
        </r>
        <r>
          <rPr>
            <sz val="9"/>
            <color indexed="81"/>
            <rFont val="Tahoma"/>
            <family val="2"/>
          </rPr>
          <t xml:space="preserve"> 3</t>
        </r>
        <r>
          <rPr>
            <sz val="9"/>
            <color indexed="81"/>
            <rFont val="돋움"/>
            <family val="3"/>
            <charset val="129"/>
          </rPr>
          <t>항의</t>
        </r>
        <r>
          <rPr>
            <sz val="9"/>
            <color indexed="81"/>
            <rFont val="Tahoma"/>
            <family val="2"/>
          </rPr>
          <t xml:space="preserve"> </t>
        </r>
        <r>
          <rPr>
            <sz val="9"/>
            <color indexed="81"/>
            <rFont val="돋움"/>
            <family val="3"/>
            <charset val="129"/>
          </rPr>
          <t>유효성분의</t>
        </r>
        <r>
          <rPr>
            <sz val="9"/>
            <color indexed="81"/>
            <rFont val="Tahoma"/>
            <family val="2"/>
          </rPr>
          <t xml:space="preserve"> 1</t>
        </r>
        <r>
          <rPr>
            <sz val="9"/>
            <color indexed="81"/>
            <rFont val="돋움"/>
            <family val="3"/>
            <charset val="129"/>
          </rPr>
          <t>회량의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최대분량의</t>
        </r>
        <r>
          <rPr>
            <sz val="9"/>
            <color indexed="81"/>
            <rFont val="Tahoma"/>
            <family val="2"/>
          </rPr>
          <t xml:space="preserve"> 1/5</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A12" authorId="1" shapeId="0" xr:uid="{00000000-0006-0000-0100-000005000000}">
      <text>
        <r>
          <rPr>
            <b/>
            <sz val="9"/>
            <color indexed="81"/>
            <rFont val="Tahoma"/>
            <family val="2"/>
          </rPr>
          <t>2. (1) 2) 2</t>
        </r>
        <r>
          <rPr>
            <b/>
            <sz val="9"/>
            <color indexed="81"/>
            <rFont val="돋움"/>
            <family val="3"/>
            <charset val="129"/>
          </rPr>
          <t>항의</t>
        </r>
        <r>
          <rPr>
            <b/>
            <sz val="9"/>
            <color indexed="81"/>
            <rFont val="Tahoma"/>
            <family val="2"/>
          </rPr>
          <t xml:space="preserve"> </t>
        </r>
        <r>
          <rPr>
            <b/>
            <sz val="9"/>
            <color indexed="81"/>
            <rFont val="돋움"/>
            <family val="3"/>
            <charset val="129"/>
          </rPr>
          <t>성분은</t>
        </r>
        <r>
          <rPr>
            <b/>
            <sz val="9"/>
            <color indexed="81"/>
            <rFont val="Tahoma"/>
            <family val="2"/>
          </rPr>
          <t xml:space="preserve"> 1</t>
        </r>
        <r>
          <rPr>
            <b/>
            <sz val="9"/>
            <color indexed="81"/>
            <rFont val="돋움"/>
            <family val="3"/>
            <charset val="129"/>
          </rPr>
          <t>항의</t>
        </r>
        <r>
          <rPr>
            <b/>
            <sz val="9"/>
            <color indexed="81"/>
            <rFont val="Tahoma"/>
            <family val="2"/>
          </rPr>
          <t xml:space="preserve"> </t>
        </r>
        <r>
          <rPr>
            <b/>
            <sz val="9"/>
            <color indexed="81"/>
            <rFont val="돋움"/>
            <family val="3"/>
            <charset val="129"/>
          </rPr>
          <t>성분과</t>
        </r>
        <r>
          <rPr>
            <b/>
            <sz val="9"/>
            <color indexed="81"/>
            <rFont val="Tahoma"/>
            <family val="2"/>
          </rPr>
          <t xml:space="preserve"> </t>
        </r>
        <r>
          <rPr>
            <b/>
            <sz val="9"/>
            <color indexed="81"/>
            <rFont val="돋움"/>
            <family val="3"/>
            <charset val="129"/>
          </rPr>
          <t>배합하지</t>
        </r>
        <r>
          <rPr>
            <b/>
            <sz val="9"/>
            <color indexed="81"/>
            <rFont val="Tahoma"/>
            <family val="2"/>
          </rPr>
          <t xml:space="preserve"> </t>
        </r>
        <r>
          <rPr>
            <b/>
            <sz val="9"/>
            <color indexed="81"/>
            <rFont val="돋움"/>
            <family val="3"/>
            <charset val="129"/>
          </rPr>
          <t>않는다</t>
        </r>
        <r>
          <rPr>
            <b/>
            <sz val="9"/>
            <color indexed="81"/>
            <rFont val="Tahoma"/>
            <family val="2"/>
          </rPr>
          <t>.</t>
        </r>
      </text>
    </comment>
    <comment ref="A13" authorId="1" shapeId="0" xr:uid="{00000000-0006-0000-0100-000006000000}">
      <text>
        <r>
          <rPr>
            <b/>
            <sz val="9"/>
            <color indexed="81"/>
            <rFont val="Tahoma"/>
            <family val="2"/>
          </rPr>
          <t>2. (1) 4) 3</t>
        </r>
        <r>
          <rPr>
            <b/>
            <sz val="9"/>
            <color indexed="81"/>
            <rFont val="돋움"/>
            <family val="3"/>
            <charset val="129"/>
          </rPr>
          <t>항의</t>
        </r>
        <r>
          <rPr>
            <b/>
            <sz val="9"/>
            <color indexed="81"/>
            <rFont val="Tahoma"/>
            <family val="2"/>
          </rPr>
          <t xml:space="preserve"> </t>
        </r>
        <r>
          <rPr>
            <b/>
            <sz val="9"/>
            <color indexed="81"/>
            <rFont val="돋움"/>
            <family val="3"/>
            <charset val="129"/>
          </rPr>
          <t>유효성분은</t>
        </r>
        <r>
          <rPr>
            <b/>
            <sz val="9"/>
            <color indexed="81"/>
            <rFont val="Tahoma"/>
            <family val="2"/>
          </rPr>
          <t xml:space="preserve"> 1</t>
        </r>
        <r>
          <rPr>
            <b/>
            <sz val="9"/>
            <color indexed="81"/>
            <rFont val="돋움"/>
            <family val="3"/>
            <charset val="129"/>
          </rPr>
          <t>항만</t>
        </r>
        <r>
          <rPr>
            <b/>
            <sz val="9"/>
            <color indexed="81"/>
            <rFont val="Tahoma"/>
            <family val="2"/>
          </rPr>
          <t xml:space="preserve"> </t>
        </r>
        <r>
          <rPr>
            <b/>
            <sz val="9"/>
            <color indexed="81"/>
            <rFont val="돋움"/>
            <family val="3"/>
            <charset val="129"/>
          </rPr>
          <t>배합</t>
        </r>
      </text>
    </comment>
    <comment ref="B16" authorId="2" shapeId="0" xr:uid="{00000000-0006-0000-0100-000007000000}">
      <text>
        <r>
          <rPr>
            <sz val="9"/>
            <color indexed="81"/>
            <rFont val="돋움"/>
            <family val="3"/>
            <charset val="129"/>
          </rPr>
          <t>Ⅳ항의</t>
        </r>
        <r>
          <rPr>
            <sz val="9"/>
            <color indexed="81"/>
            <rFont val="Tahoma"/>
            <family val="2"/>
          </rPr>
          <t xml:space="preserve"> </t>
        </r>
        <r>
          <rPr>
            <sz val="9"/>
            <color indexed="81"/>
            <rFont val="돋움"/>
            <family val="3"/>
            <charset val="129"/>
          </rPr>
          <t>성분</t>
        </r>
        <r>
          <rPr>
            <sz val="9"/>
            <color indexed="81"/>
            <rFont val="Tahoma"/>
            <family val="2"/>
          </rPr>
          <t xml:space="preserve"> </t>
        </r>
        <r>
          <rPr>
            <sz val="9"/>
            <color indexed="81"/>
            <rFont val="돋움"/>
            <family val="3"/>
            <charset val="129"/>
          </rPr>
          <t>종류는</t>
        </r>
        <r>
          <rPr>
            <sz val="9"/>
            <color indexed="81"/>
            <rFont val="Tahoma"/>
            <family val="2"/>
          </rPr>
          <t xml:space="preserve"> </t>
        </r>
        <r>
          <rPr>
            <sz val="9"/>
            <color indexed="81"/>
            <rFont val="돋움"/>
            <family val="3"/>
            <charset val="129"/>
          </rPr>
          <t>비타민제</t>
        </r>
        <r>
          <rPr>
            <sz val="9"/>
            <color indexed="81"/>
            <rFont val="Tahoma"/>
            <family val="2"/>
          </rPr>
          <t xml:space="preserve"> </t>
        </r>
        <r>
          <rPr>
            <sz val="9"/>
            <color indexed="81"/>
            <rFont val="돋움"/>
            <family val="3"/>
            <charset val="129"/>
          </rPr>
          <t>표준제조기준의</t>
        </r>
        <r>
          <rPr>
            <sz val="9"/>
            <color indexed="81"/>
            <rFont val="Tahoma"/>
            <family val="2"/>
          </rPr>
          <t xml:space="preserve"> &lt;</t>
        </r>
        <r>
          <rPr>
            <sz val="9"/>
            <color indexed="81"/>
            <rFont val="돋움"/>
            <family val="3"/>
            <charset val="129"/>
          </rPr>
          <t>표</t>
        </r>
        <r>
          <rPr>
            <sz val="9"/>
            <color indexed="81"/>
            <rFont val="Tahoma"/>
            <family val="2"/>
          </rPr>
          <t xml:space="preserve">1&gt; </t>
        </r>
        <r>
          <rPr>
            <sz val="9"/>
            <color indexed="81"/>
            <rFont val="돋움"/>
            <family val="3"/>
            <charset val="129"/>
          </rPr>
          <t>중</t>
        </r>
        <r>
          <rPr>
            <sz val="9"/>
            <color indexed="81"/>
            <rFont val="Tahoma"/>
            <family val="2"/>
          </rPr>
          <t xml:space="preserve"> </t>
        </r>
        <r>
          <rPr>
            <sz val="9"/>
            <color indexed="81"/>
            <rFont val="돋움"/>
            <family val="3"/>
            <charset val="129"/>
          </rPr>
          <t>Ⅳ</t>
        </r>
        <r>
          <rPr>
            <sz val="9"/>
            <color indexed="81"/>
            <rFont val="Tahoma"/>
            <family val="2"/>
          </rPr>
          <t>,</t>
        </r>
        <r>
          <rPr>
            <sz val="9"/>
            <color indexed="81"/>
            <rFont val="돋움"/>
            <family val="3"/>
            <charset val="129"/>
          </rPr>
          <t>Ⅴ</t>
        </r>
        <r>
          <rPr>
            <sz val="9"/>
            <color indexed="81"/>
            <rFont val="Tahoma"/>
            <family val="2"/>
          </rPr>
          <t>,</t>
        </r>
        <r>
          <rPr>
            <sz val="9"/>
            <color indexed="81"/>
            <rFont val="돋움"/>
            <family val="3"/>
            <charset val="129"/>
          </rPr>
          <t>Ⅷ란</t>
        </r>
        <r>
          <rPr>
            <sz val="9"/>
            <color indexed="81"/>
            <rFont val="Tahoma"/>
            <family val="2"/>
          </rPr>
          <t xml:space="preserve"> </t>
        </r>
        <r>
          <rPr>
            <sz val="9"/>
            <color indexed="81"/>
            <rFont val="돋움"/>
            <family val="3"/>
            <charset val="129"/>
          </rPr>
          <t>성분으로</t>
        </r>
        <r>
          <rPr>
            <sz val="9"/>
            <color indexed="81"/>
            <rFont val="Tahoma"/>
            <family val="2"/>
          </rPr>
          <t xml:space="preserve"> </t>
        </r>
        <r>
          <rPr>
            <sz val="9"/>
            <color indexed="81"/>
            <rFont val="돋움"/>
            <family val="3"/>
            <charset val="129"/>
          </rPr>
          <t>한다</t>
        </r>
        <r>
          <rPr>
            <sz val="9"/>
            <color indexed="81"/>
            <rFont val="Tahoma"/>
            <family val="2"/>
          </rPr>
          <t>.</t>
        </r>
      </text>
    </comment>
    <comment ref="E16" authorId="2" shapeId="0" xr:uid="{00000000-0006-0000-0100-000008000000}">
      <text>
        <r>
          <rPr>
            <b/>
            <sz val="9"/>
            <color indexed="81"/>
            <rFont val="돋움"/>
            <family val="3"/>
            <charset val="129"/>
          </rPr>
          <t>비타민의</t>
        </r>
        <r>
          <rPr>
            <b/>
            <sz val="9"/>
            <color indexed="81"/>
            <rFont val="Tahoma"/>
            <family val="2"/>
          </rPr>
          <t xml:space="preserve"> </t>
        </r>
        <r>
          <rPr>
            <b/>
            <sz val="9"/>
            <color indexed="81"/>
            <rFont val="돋움"/>
            <family val="3"/>
            <charset val="129"/>
          </rPr>
          <t>배합최소량</t>
        </r>
        <r>
          <rPr>
            <b/>
            <sz val="9"/>
            <color indexed="81"/>
            <rFont val="Tahoma"/>
            <family val="2"/>
          </rPr>
          <t>=1</t>
        </r>
        <r>
          <rPr>
            <b/>
            <sz val="9"/>
            <color indexed="81"/>
            <rFont val="돋움"/>
            <family val="3"/>
            <charset val="129"/>
          </rPr>
          <t>일</t>
        </r>
        <r>
          <rPr>
            <b/>
            <sz val="9"/>
            <color indexed="81"/>
            <rFont val="Tahoma"/>
            <family val="2"/>
          </rPr>
          <t xml:space="preserve"> </t>
        </r>
        <r>
          <rPr>
            <b/>
            <sz val="9"/>
            <color indexed="81"/>
            <rFont val="돋움"/>
            <family val="3"/>
            <charset val="129"/>
          </rPr>
          <t>최소</t>
        </r>
        <r>
          <rPr>
            <b/>
            <sz val="9"/>
            <color indexed="81"/>
            <rFont val="Tahoma"/>
            <family val="2"/>
          </rPr>
          <t>(</t>
        </r>
        <r>
          <rPr>
            <b/>
            <sz val="9"/>
            <color indexed="81"/>
            <rFont val="돋움"/>
            <family val="3"/>
            <charset val="129"/>
          </rPr>
          <t>식약처</t>
        </r>
        <r>
          <rPr>
            <b/>
            <sz val="9"/>
            <color indexed="81"/>
            <rFont val="Tahoma"/>
            <family val="2"/>
          </rPr>
          <t xml:space="preserve"> </t>
        </r>
        <r>
          <rPr>
            <b/>
            <sz val="9"/>
            <color indexed="81"/>
            <rFont val="돋움"/>
            <family val="3"/>
            <charset val="129"/>
          </rPr>
          <t>확인한</t>
        </r>
        <r>
          <rPr>
            <b/>
            <sz val="9"/>
            <color indexed="81"/>
            <rFont val="Tahoma"/>
            <family val="2"/>
          </rPr>
          <t xml:space="preserve"> </t>
        </r>
        <r>
          <rPr>
            <b/>
            <sz val="9"/>
            <color indexed="81"/>
            <rFont val="돋움"/>
            <family val="3"/>
            <charset val="129"/>
          </rPr>
          <t>사항</t>
        </r>
        <r>
          <rPr>
            <b/>
            <sz val="9"/>
            <color indexed="81"/>
            <rFont val="Tahoma"/>
            <family val="2"/>
          </rPr>
          <t>)</t>
        </r>
        <r>
          <rPr>
            <b/>
            <sz val="9"/>
            <color indexed="81"/>
            <rFont val="돋움"/>
            <family val="3"/>
            <charset val="129"/>
          </rPr>
          <t xml:space="preserve">
</t>
        </r>
        <r>
          <rPr>
            <b/>
            <sz val="9"/>
            <color indexed="81"/>
            <rFont val="Tahoma"/>
            <family val="2"/>
          </rPr>
          <t>&lt;</t>
        </r>
        <r>
          <rPr>
            <b/>
            <sz val="9"/>
            <color indexed="81"/>
            <rFont val="돋움"/>
            <family val="3"/>
            <charset val="129"/>
          </rPr>
          <t>표</t>
        </r>
        <r>
          <rPr>
            <b/>
            <sz val="9"/>
            <color indexed="81"/>
            <rFont val="Tahoma"/>
            <family val="2"/>
          </rPr>
          <t>1&gt; (</t>
        </r>
        <r>
          <rPr>
            <b/>
            <sz val="9"/>
            <color indexed="81"/>
            <rFont val="돋움"/>
            <family val="3"/>
            <charset val="129"/>
          </rPr>
          <t>괄호</t>
        </r>
        <r>
          <rPr>
            <b/>
            <sz val="9"/>
            <color indexed="81"/>
            <rFont val="Tahoma"/>
            <family val="2"/>
          </rPr>
          <t xml:space="preserve"> </t>
        </r>
        <r>
          <rPr>
            <b/>
            <sz val="9"/>
            <color indexed="81"/>
            <rFont val="돋움"/>
            <family val="3"/>
            <charset val="129"/>
          </rPr>
          <t>내</t>
        </r>
        <r>
          <rPr>
            <b/>
            <sz val="9"/>
            <color indexed="81"/>
            <rFont val="Tahoma"/>
            <family val="2"/>
          </rPr>
          <t xml:space="preserve"> </t>
        </r>
        <r>
          <rPr>
            <b/>
            <sz val="9"/>
            <color indexed="81"/>
            <rFont val="돋움"/>
            <family val="3"/>
            <charset val="129"/>
          </rPr>
          <t>수치는</t>
        </r>
        <r>
          <rPr>
            <b/>
            <sz val="9"/>
            <color indexed="81"/>
            <rFont val="Tahoma"/>
            <family val="2"/>
          </rPr>
          <t xml:space="preserve"> </t>
        </r>
        <r>
          <rPr>
            <b/>
            <sz val="9"/>
            <color indexed="81"/>
            <rFont val="돋움"/>
            <family val="3"/>
            <charset val="129"/>
          </rPr>
          <t>배합</t>
        </r>
        <r>
          <rPr>
            <b/>
            <sz val="9"/>
            <color indexed="81"/>
            <rFont val="Tahoma"/>
            <family val="2"/>
          </rPr>
          <t xml:space="preserve"> </t>
        </r>
        <r>
          <rPr>
            <b/>
            <sz val="9"/>
            <color indexed="81"/>
            <rFont val="돋움"/>
            <family val="3"/>
            <charset val="129"/>
          </rPr>
          <t>최소량</t>
        </r>
        <r>
          <rPr>
            <b/>
            <sz val="9"/>
            <color indexed="81"/>
            <rFont val="Tahoma"/>
            <family val="2"/>
          </rPr>
          <t>)</t>
        </r>
      </text>
    </comment>
    <comment ref="B17" authorId="2" shapeId="0" xr:uid="{00000000-0006-0000-0100-000009000000}">
      <text>
        <r>
          <rPr>
            <sz val="9"/>
            <color indexed="81"/>
            <rFont val="돋움"/>
            <family val="3"/>
            <charset val="129"/>
          </rPr>
          <t>Ⅳ항의</t>
        </r>
        <r>
          <rPr>
            <sz val="9"/>
            <color indexed="81"/>
            <rFont val="Tahoma"/>
            <family val="2"/>
          </rPr>
          <t xml:space="preserve"> </t>
        </r>
        <r>
          <rPr>
            <sz val="9"/>
            <color indexed="81"/>
            <rFont val="돋움"/>
            <family val="3"/>
            <charset val="129"/>
          </rPr>
          <t>성분</t>
        </r>
        <r>
          <rPr>
            <sz val="9"/>
            <color indexed="81"/>
            <rFont val="Tahoma"/>
            <family val="2"/>
          </rPr>
          <t xml:space="preserve"> </t>
        </r>
        <r>
          <rPr>
            <sz val="9"/>
            <color indexed="81"/>
            <rFont val="돋움"/>
            <family val="3"/>
            <charset val="129"/>
          </rPr>
          <t>종류는</t>
        </r>
        <r>
          <rPr>
            <sz val="9"/>
            <color indexed="81"/>
            <rFont val="Tahoma"/>
            <family val="2"/>
          </rPr>
          <t xml:space="preserve"> </t>
        </r>
        <r>
          <rPr>
            <sz val="9"/>
            <color indexed="81"/>
            <rFont val="돋움"/>
            <family val="3"/>
            <charset val="129"/>
          </rPr>
          <t>비타민제</t>
        </r>
        <r>
          <rPr>
            <sz val="9"/>
            <color indexed="81"/>
            <rFont val="Tahoma"/>
            <family val="2"/>
          </rPr>
          <t xml:space="preserve"> </t>
        </r>
        <r>
          <rPr>
            <sz val="9"/>
            <color indexed="81"/>
            <rFont val="돋움"/>
            <family val="3"/>
            <charset val="129"/>
          </rPr>
          <t>표준제조기준의</t>
        </r>
        <r>
          <rPr>
            <sz val="9"/>
            <color indexed="81"/>
            <rFont val="Tahoma"/>
            <family val="2"/>
          </rPr>
          <t xml:space="preserve"> &lt;</t>
        </r>
        <r>
          <rPr>
            <sz val="9"/>
            <color indexed="81"/>
            <rFont val="돋움"/>
            <family val="3"/>
            <charset val="129"/>
          </rPr>
          <t>표</t>
        </r>
        <r>
          <rPr>
            <sz val="9"/>
            <color indexed="81"/>
            <rFont val="Tahoma"/>
            <family val="2"/>
          </rPr>
          <t xml:space="preserve">1&gt; </t>
        </r>
        <r>
          <rPr>
            <sz val="9"/>
            <color indexed="81"/>
            <rFont val="돋움"/>
            <family val="3"/>
            <charset val="129"/>
          </rPr>
          <t>중</t>
        </r>
        <r>
          <rPr>
            <sz val="9"/>
            <color indexed="81"/>
            <rFont val="Tahoma"/>
            <family val="2"/>
          </rPr>
          <t xml:space="preserve"> </t>
        </r>
        <r>
          <rPr>
            <sz val="9"/>
            <color indexed="81"/>
            <rFont val="돋움"/>
            <family val="3"/>
            <charset val="129"/>
          </rPr>
          <t>Ⅳ</t>
        </r>
        <r>
          <rPr>
            <sz val="9"/>
            <color indexed="81"/>
            <rFont val="Tahoma"/>
            <family val="2"/>
          </rPr>
          <t>,</t>
        </r>
        <r>
          <rPr>
            <sz val="9"/>
            <color indexed="81"/>
            <rFont val="돋움"/>
            <family val="3"/>
            <charset val="129"/>
          </rPr>
          <t>Ⅴ</t>
        </r>
        <r>
          <rPr>
            <sz val="9"/>
            <color indexed="81"/>
            <rFont val="Tahoma"/>
            <family val="2"/>
          </rPr>
          <t>,</t>
        </r>
        <r>
          <rPr>
            <sz val="9"/>
            <color indexed="81"/>
            <rFont val="돋움"/>
            <family val="3"/>
            <charset val="129"/>
          </rPr>
          <t>Ⅷ란</t>
        </r>
        <r>
          <rPr>
            <sz val="9"/>
            <color indexed="81"/>
            <rFont val="Tahoma"/>
            <family val="2"/>
          </rPr>
          <t xml:space="preserve"> </t>
        </r>
        <r>
          <rPr>
            <sz val="9"/>
            <color indexed="81"/>
            <rFont val="돋움"/>
            <family val="3"/>
            <charset val="129"/>
          </rPr>
          <t>성분으로</t>
        </r>
        <r>
          <rPr>
            <sz val="9"/>
            <color indexed="81"/>
            <rFont val="Tahoma"/>
            <family val="2"/>
          </rPr>
          <t xml:space="preserve"> </t>
        </r>
        <r>
          <rPr>
            <sz val="9"/>
            <color indexed="81"/>
            <rFont val="돋움"/>
            <family val="3"/>
            <charset val="129"/>
          </rPr>
          <t>한다</t>
        </r>
        <r>
          <rPr>
            <sz val="9"/>
            <color indexed="81"/>
            <rFont val="Tahoma"/>
            <family val="2"/>
          </rPr>
          <t>.</t>
        </r>
      </text>
    </comment>
    <comment ref="B18" authorId="2" shapeId="0" xr:uid="{00000000-0006-0000-0100-00000A000000}">
      <text>
        <r>
          <rPr>
            <sz val="9"/>
            <color indexed="81"/>
            <rFont val="돋움"/>
            <family val="3"/>
            <charset val="129"/>
          </rPr>
          <t>Ⅳ항의</t>
        </r>
        <r>
          <rPr>
            <sz val="9"/>
            <color indexed="81"/>
            <rFont val="Tahoma"/>
            <family val="2"/>
          </rPr>
          <t xml:space="preserve"> </t>
        </r>
        <r>
          <rPr>
            <sz val="9"/>
            <color indexed="81"/>
            <rFont val="돋움"/>
            <family val="3"/>
            <charset val="129"/>
          </rPr>
          <t>성분</t>
        </r>
        <r>
          <rPr>
            <sz val="9"/>
            <color indexed="81"/>
            <rFont val="Tahoma"/>
            <family val="2"/>
          </rPr>
          <t xml:space="preserve"> </t>
        </r>
        <r>
          <rPr>
            <sz val="9"/>
            <color indexed="81"/>
            <rFont val="돋움"/>
            <family val="3"/>
            <charset val="129"/>
          </rPr>
          <t>종류는</t>
        </r>
        <r>
          <rPr>
            <sz val="9"/>
            <color indexed="81"/>
            <rFont val="Tahoma"/>
            <family val="2"/>
          </rPr>
          <t xml:space="preserve"> </t>
        </r>
        <r>
          <rPr>
            <sz val="9"/>
            <color indexed="81"/>
            <rFont val="돋움"/>
            <family val="3"/>
            <charset val="129"/>
          </rPr>
          <t>비타민제</t>
        </r>
        <r>
          <rPr>
            <sz val="9"/>
            <color indexed="81"/>
            <rFont val="Tahoma"/>
            <family val="2"/>
          </rPr>
          <t xml:space="preserve"> </t>
        </r>
        <r>
          <rPr>
            <sz val="9"/>
            <color indexed="81"/>
            <rFont val="돋움"/>
            <family val="3"/>
            <charset val="129"/>
          </rPr>
          <t>표준제조기준의</t>
        </r>
        <r>
          <rPr>
            <sz val="9"/>
            <color indexed="81"/>
            <rFont val="Tahoma"/>
            <family val="2"/>
          </rPr>
          <t xml:space="preserve"> &lt;</t>
        </r>
        <r>
          <rPr>
            <sz val="9"/>
            <color indexed="81"/>
            <rFont val="돋움"/>
            <family val="3"/>
            <charset val="129"/>
          </rPr>
          <t>표</t>
        </r>
        <r>
          <rPr>
            <sz val="9"/>
            <color indexed="81"/>
            <rFont val="Tahoma"/>
            <family val="2"/>
          </rPr>
          <t xml:space="preserve">1&gt; </t>
        </r>
        <r>
          <rPr>
            <sz val="9"/>
            <color indexed="81"/>
            <rFont val="돋움"/>
            <family val="3"/>
            <charset val="129"/>
          </rPr>
          <t>중</t>
        </r>
        <r>
          <rPr>
            <sz val="9"/>
            <color indexed="81"/>
            <rFont val="Tahoma"/>
            <family val="2"/>
          </rPr>
          <t xml:space="preserve"> </t>
        </r>
        <r>
          <rPr>
            <sz val="9"/>
            <color indexed="81"/>
            <rFont val="돋움"/>
            <family val="3"/>
            <charset val="129"/>
          </rPr>
          <t>Ⅳ</t>
        </r>
        <r>
          <rPr>
            <sz val="9"/>
            <color indexed="81"/>
            <rFont val="Tahoma"/>
            <family val="2"/>
          </rPr>
          <t>,</t>
        </r>
        <r>
          <rPr>
            <sz val="9"/>
            <color indexed="81"/>
            <rFont val="돋움"/>
            <family val="3"/>
            <charset val="129"/>
          </rPr>
          <t>Ⅴ</t>
        </r>
        <r>
          <rPr>
            <sz val="9"/>
            <color indexed="81"/>
            <rFont val="Tahoma"/>
            <family val="2"/>
          </rPr>
          <t>,</t>
        </r>
        <r>
          <rPr>
            <sz val="9"/>
            <color indexed="81"/>
            <rFont val="돋움"/>
            <family val="3"/>
            <charset val="129"/>
          </rPr>
          <t>Ⅷ란</t>
        </r>
        <r>
          <rPr>
            <sz val="9"/>
            <color indexed="81"/>
            <rFont val="Tahoma"/>
            <family val="2"/>
          </rPr>
          <t xml:space="preserve"> </t>
        </r>
        <r>
          <rPr>
            <sz val="9"/>
            <color indexed="81"/>
            <rFont val="돋움"/>
            <family val="3"/>
            <charset val="129"/>
          </rPr>
          <t>성분으로</t>
        </r>
        <r>
          <rPr>
            <sz val="9"/>
            <color indexed="81"/>
            <rFont val="Tahoma"/>
            <family val="2"/>
          </rPr>
          <t xml:space="preserve"> </t>
        </r>
        <r>
          <rPr>
            <sz val="9"/>
            <color indexed="81"/>
            <rFont val="돋움"/>
            <family val="3"/>
            <charset val="129"/>
          </rPr>
          <t>한다</t>
        </r>
        <r>
          <rPr>
            <sz val="9"/>
            <color indexed="81"/>
            <rFont val="Tahoma"/>
            <family val="2"/>
          </rPr>
          <t>.</t>
        </r>
      </text>
    </comment>
    <comment ref="C19" authorId="2" shapeId="0" xr:uid="{00000000-0006-0000-0100-00000B000000}">
      <text>
        <r>
          <rPr>
            <b/>
            <sz val="9"/>
            <color indexed="81"/>
            <rFont val="Tahoma"/>
            <family val="2"/>
          </rPr>
          <t xml:space="preserve">(2) 4) </t>
        </r>
        <r>
          <rPr>
            <b/>
            <sz val="9"/>
            <color indexed="81"/>
            <rFont val="돋움"/>
            <family val="3"/>
            <charset val="129"/>
          </rPr>
          <t>Ⅴ항의</t>
        </r>
        <r>
          <rPr>
            <b/>
            <sz val="9"/>
            <color indexed="81"/>
            <rFont val="Tahoma"/>
            <family val="2"/>
          </rPr>
          <t xml:space="preserve"> </t>
        </r>
        <r>
          <rPr>
            <b/>
            <sz val="9"/>
            <color indexed="81"/>
            <rFont val="돋움"/>
            <family val="3"/>
            <charset val="129"/>
          </rPr>
          <t>유효성분의</t>
        </r>
        <r>
          <rPr>
            <b/>
            <sz val="9"/>
            <color indexed="81"/>
            <rFont val="Tahoma"/>
            <family val="2"/>
          </rPr>
          <t xml:space="preserve"> 1</t>
        </r>
        <r>
          <rPr>
            <b/>
            <sz val="9"/>
            <color indexed="81"/>
            <rFont val="돋움"/>
            <family val="3"/>
            <charset val="129"/>
          </rPr>
          <t>회량의</t>
        </r>
        <r>
          <rPr>
            <b/>
            <sz val="9"/>
            <color indexed="81"/>
            <rFont val="Tahoma"/>
            <family val="2"/>
          </rPr>
          <t xml:space="preserve"> </t>
        </r>
        <r>
          <rPr>
            <b/>
            <sz val="9"/>
            <color indexed="81"/>
            <rFont val="돋움"/>
            <family val="3"/>
            <charset val="129"/>
          </rPr>
          <t>하한은</t>
        </r>
        <r>
          <rPr>
            <b/>
            <sz val="9"/>
            <color indexed="81"/>
            <rFont val="Tahoma"/>
            <family val="2"/>
          </rPr>
          <t xml:space="preserve"> 1</t>
        </r>
        <r>
          <rPr>
            <b/>
            <sz val="9"/>
            <color indexed="81"/>
            <rFont val="돋움"/>
            <family val="3"/>
            <charset val="129"/>
          </rPr>
          <t>일</t>
        </r>
        <r>
          <rPr>
            <b/>
            <sz val="9"/>
            <color indexed="81"/>
            <rFont val="Tahoma"/>
            <family val="2"/>
          </rPr>
          <t xml:space="preserve"> </t>
        </r>
        <r>
          <rPr>
            <b/>
            <sz val="9"/>
            <color indexed="81"/>
            <rFont val="돋움"/>
            <family val="3"/>
            <charset val="129"/>
          </rPr>
          <t>최대</t>
        </r>
        <r>
          <rPr>
            <b/>
            <sz val="9"/>
            <color indexed="81"/>
            <rFont val="Tahoma"/>
            <family val="2"/>
          </rPr>
          <t xml:space="preserve"> </t>
        </r>
        <r>
          <rPr>
            <b/>
            <sz val="9"/>
            <color indexed="81"/>
            <rFont val="돋움"/>
            <family val="3"/>
            <charset val="129"/>
          </rPr>
          <t>분량의</t>
        </r>
        <r>
          <rPr>
            <b/>
            <sz val="9"/>
            <color indexed="81"/>
            <rFont val="Tahoma"/>
            <family val="2"/>
          </rPr>
          <t xml:space="preserve"> 1/15</t>
        </r>
        <r>
          <rPr>
            <b/>
            <sz val="9"/>
            <color indexed="81"/>
            <rFont val="돋움"/>
            <family val="3"/>
            <charset val="129"/>
          </rPr>
          <t>로</t>
        </r>
        <r>
          <rPr>
            <b/>
            <sz val="9"/>
            <color indexed="81"/>
            <rFont val="Tahoma"/>
            <family val="2"/>
          </rPr>
          <t xml:space="preserve"> </t>
        </r>
        <r>
          <rPr>
            <b/>
            <sz val="9"/>
            <color indexed="81"/>
            <rFont val="돋움"/>
            <family val="3"/>
            <charset val="129"/>
          </rPr>
          <t>한다</t>
        </r>
        <r>
          <rPr>
            <b/>
            <sz val="9"/>
            <color indexed="81"/>
            <rFont val="Tahoma"/>
            <family val="2"/>
          </rPr>
          <t>.</t>
        </r>
      </text>
    </comment>
    <comment ref="A23" authorId="3" shapeId="0" xr:uid="{00000000-0006-0000-0100-00000C000000}">
      <text>
        <r>
          <rPr>
            <sz val="9"/>
            <color indexed="81"/>
            <rFont val="돋움"/>
            <family val="3"/>
            <charset val="129"/>
          </rPr>
          <t>희정</t>
        </r>
        <r>
          <rPr>
            <sz val="9"/>
            <color indexed="81"/>
            <rFont val="Tahoma"/>
            <family val="2"/>
          </rPr>
          <t xml:space="preserve"> 25.07.15 </t>
        </r>
        <r>
          <rPr>
            <sz val="9"/>
            <color indexed="81"/>
            <rFont val="돋움"/>
            <family val="3"/>
            <charset val="129"/>
          </rPr>
          <t>추가</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여부</t>
        </r>
        <r>
          <rPr>
            <sz val="9"/>
            <color indexed="81"/>
            <rFont val="Tahoma"/>
            <family val="2"/>
          </rPr>
          <t xml:space="preserve"> </t>
        </r>
        <r>
          <rPr>
            <sz val="9"/>
            <color indexed="81"/>
            <rFont val="돋움"/>
            <family val="3"/>
            <charset val="129"/>
          </rPr>
          <t>검토해주세요</t>
        </r>
        <r>
          <rPr>
            <sz val="9"/>
            <color indexed="81"/>
            <rFont val="Tahoma"/>
            <family val="2"/>
          </rPr>
          <t>.</t>
        </r>
      </text>
    </comment>
    <comment ref="E23" authorId="3" shapeId="0" xr:uid="{00000000-0006-0000-0100-00000D000000}">
      <text>
        <r>
          <rPr>
            <sz val="9"/>
            <color indexed="81"/>
            <rFont val="Tahoma"/>
            <family val="2"/>
          </rPr>
          <t>(2) 6) &lt;</t>
        </r>
        <r>
          <rPr>
            <sz val="9"/>
            <color indexed="81"/>
            <rFont val="돋움"/>
            <family val="3"/>
            <charset val="129"/>
          </rPr>
          <t>표</t>
        </r>
        <r>
          <rPr>
            <sz val="9"/>
            <color indexed="81"/>
            <rFont val="Tahoma"/>
            <family val="2"/>
          </rPr>
          <t xml:space="preserve">2&gt; </t>
        </r>
        <r>
          <rPr>
            <sz val="9"/>
            <color indexed="81"/>
            <rFont val="돋움"/>
            <family val="3"/>
            <charset val="129"/>
          </rPr>
          <t>중</t>
        </r>
        <r>
          <rPr>
            <sz val="9"/>
            <color indexed="81"/>
            <rFont val="Tahoma"/>
            <family val="2"/>
          </rPr>
          <t xml:space="preserve"> </t>
        </r>
        <r>
          <rPr>
            <sz val="9"/>
            <color indexed="81"/>
            <rFont val="돋움"/>
            <family val="3"/>
            <charset val="129"/>
          </rPr>
          <t>Ⅰ란의</t>
        </r>
        <r>
          <rPr>
            <sz val="9"/>
            <color indexed="81"/>
            <rFont val="Tahoma"/>
            <family val="2"/>
          </rPr>
          <t xml:space="preserve"> </t>
        </r>
        <r>
          <rPr>
            <sz val="9"/>
            <color indexed="81"/>
            <rFont val="돋움"/>
            <family val="3"/>
            <charset val="129"/>
          </rPr>
          <t>유효성분의</t>
        </r>
        <r>
          <rPr>
            <sz val="9"/>
            <color indexed="81"/>
            <rFont val="Tahoma"/>
            <family val="2"/>
          </rPr>
          <t xml:space="preserve"> 1</t>
        </r>
        <r>
          <rPr>
            <sz val="9"/>
            <color indexed="81"/>
            <rFont val="돋움"/>
            <family val="3"/>
            <charset val="129"/>
          </rPr>
          <t>일량의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1/10</t>
        </r>
        <r>
          <rPr>
            <sz val="9"/>
            <color indexed="81"/>
            <rFont val="돋움"/>
            <family val="3"/>
            <charset val="129"/>
          </rPr>
          <t>이다</t>
        </r>
        <r>
          <rPr>
            <sz val="9"/>
            <color indexed="81"/>
            <rFont val="Tahoma"/>
            <family val="2"/>
          </rPr>
          <t>.</t>
        </r>
      </text>
    </comment>
    <comment ref="E24" authorId="3" shapeId="0" xr:uid="{00000000-0006-0000-0100-00000E000000}">
      <text>
        <r>
          <rPr>
            <sz val="9"/>
            <color indexed="81"/>
            <rFont val="Tahoma"/>
            <family val="2"/>
          </rPr>
          <t>(2) 6) &lt;</t>
        </r>
        <r>
          <rPr>
            <sz val="9"/>
            <color indexed="81"/>
            <rFont val="돋움"/>
            <family val="3"/>
            <charset val="129"/>
          </rPr>
          <t>표</t>
        </r>
        <r>
          <rPr>
            <sz val="9"/>
            <color indexed="81"/>
            <rFont val="Tahoma"/>
            <family val="2"/>
          </rPr>
          <t xml:space="preserve">2&gt; </t>
        </r>
        <r>
          <rPr>
            <sz val="9"/>
            <color indexed="81"/>
            <rFont val="돋움"/>
            <family val="3"/>
            <charset val="129"/>
          </rPr>
          <t>중</t>
        </r>
        <r>
          <rPr>
            <sz val="9"/>
            <color indexed="81"/>
            <rFont val="Tahoma"/>
            <family val="2"/>
          </rPr>
          <t xml:space="preserve"> </t>
        </r>
        <r>
          <rPr>
            <sz val="9"/>
            <color indexed="81"/>
            <rFont val="돋움"/>
            <family val="3"/>
            <charset val="129"/>
          </rPr>
          <t>Ⅰ란의</t>
        </r>
        <r>
          <rPr>
            <sz val="9"/>
            <color indexed="81"/>
            <rFont val="Tahoma"/>
            <family val="2"/>
          </rPr>
          <t xml:space="preserve"> </t>
        </r>
        <r>
          <rPr>
            <sz val="9"/>
            <color indexed="81"/>
            <rFont val="돋움"/>
            <family val="3"/>
            <charset val="129"/>
          </rPr>
          <t>유효성분의</t>
        </r>
        <r>
          <rPr>
            <sz val="9"/>
            <color indexed="81"/>
            <rFont val="Tahoma"/>
            <family val="2"/>
          </rPr>
          <t xml:space="preserve"> 1</t>
        </r>
        <r>
          <rPr>
            <sz val="9"/>
            <color indexed="81"/>
            <rFont val="돋움"/>
            <family val="3"/>
            <charset val="129"/>
          </rPr>
          <t>일량의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1/10</t>
        </r>
        <r>
          <rPr>
            <sz val="9"/>
            <color indexed="81"/>
            <rFont val="돋움"/>
            <family val="3"/>
            <charset val="129"/>
          </rPr>
          <t>이다</t>
        </r>
        <r>
          <rPr>
            <sz val="9"/>
            <color indexed="81"/>
            <rFont val="Tahoma"/>
            <family val="2"/>
          </rPr>
          <t>.</t>
        </r>
      </text>
    </comment>
    <comment ref="A25" authorId="3" shapeId="0" xr:uid="{00000000-0006-0000-0100-00000F000000}">
      <text>
        <r>
          <rPr>
            <sz val="9"/>
            <color indexed="81"/>
            <rFont val="돋움"/>
            <family val="3"/>
            <charset val="129"/>
          </rPr>
          <t>희정</t>
        </r>
        <r>
          <rPr>
            <sz val="9"/>
            <color indexed="81"/>
            <rFont val="Tahoma"/>
            <family val="2"/>
          </rPr>
          <t xml:space="preserve"> 25.07.15 </t>
        </r>
        <r>
          <rPr>
            <sz val="9"/>
            <color indexed="81"/>
            <rFont val="돋움"/>
            <family val="3"/>
            <charset val="129"/>
          </rPr>
          <t>추가</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여부</t>
        </r>
        <r>
          <rPr>
            <sz val="9"/>
            <color indexed="81"/>
            <rFont val="Tahoma"/>
            <family val="2"/>
          </rPr>
          <t xml:space="preserve"> </t>
        </r>
        <r>
          <rPr>
            <sz val="9"/>
            <color indexed="81"/>
            <rFont val="돋움"/>
            <family val="3"/>
            <charset val="129"/>
          </rPr>
          <t>검토해주세요</t>
        </r>
        <r>
          <rPr>
            <sz val="9"/>
            <color indexed="81"/>
            <rFont val="Tahoma"/>
            <family val="2"/>
          </rPr>
          <t>.</t>
        </r>
      </text>
    </comment>
    <comment ref="E25" authorId="3" shapeId="0" xr:uid="{00000000-0006-0000-0100-000010000000}">
      <text>
        <r>
          <rPr>
            <sz val="9"/>
            <color indexed="81"/>
            <rFont val="Tahoma"/>
            <family val="2"/>
          </rPr>
          <t>(2) 6) &lt;</t>
        </r>
        <r>
          <rPr>
            <sz val="9"/>
            <color indexed="81"/>
            <rFont val="돋움"/>
            <family val="3"/>
            <charset val="129"/>
          </rPr>
          <t>표</t>
        </r>
        <r>
          <rPr>
            <sz val="9"/>
            <color indexed="81"/>
            <rFont val="Tahoma"/>
            <family val="2"/>
          </rPr>
          <t xml:space="preserve">2&gt; </t>
        </r>
        <r>
          <rPr>
            <sz val="9"/>
            <color indexed="81"/>
            <rFont val="돋움"/>
            <family val="3"/>
            <charset val="129"/>
          </rPr>
          <t>중</t>
        </r>
        <r>
          <rPr>
            <sz val="9"/>
            <color indexed="81"/>
            <rFont val="Tahoma"/>
            <family val="2"/>
          </rPr>
          <t xml:space="preserve"> </t>
        </r>
        <r>
          <rPr>
            <sz val="9"/>
            <color indexed="81"/>
            <rFont val="돋움"/>
            <family val="3"/>
            <charset val="129"/>
          </rPr>
          <t>Ⅰ란의</t>
        </r>
        <r>
          <rPr>
            <sz val="9"/>
            <color indexed="81"/>
            <rFont val="Tahoma"/>
            <family val="2"/>
          </rPr>
          <t xml:space="preserve"> </t>
        </r>
        <r>
          <rPr>
            <sz val="9"/>
            <color indexed="81"/>
            <rFont val="돋움"/>
            <family val="3"/>
            <charset val="129"/>
          </rPr>
          <t>유효성분의</t>
        </r>
        <r>
          <rPr>
            <sz val="9"/>
            <color indexed="81"/>
            <rFont val="Tahoma"/>
            <family val="2"/>
          </rPr>
          <t xml:space="preserve"> 1</t>
        </r>
        <r>
          <rPr>
            <sz val="9"/>
            <color indexed="81"/>
            <rFont val="돋움"/>
            <family val="3"/>
            <charset val="129"/>
          </rPr>
          <t>일량의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1/10</t>
        </r>
        <r>
          <rPr>
            <sz val="9"/>
            <color indexed="81"/>
            <rFont val="돋움"/>
            <family val="3"/>
            <charset val="129"/>
          </rPr>
          <t>이다</t>
        </r>
        <r>
          <rPr>
            <sz val="9"/>
            <color indexed="81"/>
            <rFont val="Tahoma"/>
            <family val="2"/>
          </rPr>
          <t>.</t>
        </r>
      </text>
    </comment>
    <comment ref="E26" authorId="3" shapeId="0" xr:uid="{00000000-0006-0000-0100-000011000000}">
      <text>
        <r>
          <rPr>
            <sz val="9"/>
            <color indexed="81"/>
            <rFont val="Tahoma"/>
            <family val="2"/>
          </rPr>
          <t>(2) 6) &lt;</t>
        </r>
        <r>
          <rPr>
            <sz val="9"/>
            <color indexed="81"/>
            <rFont val="돋움"/>
            <family val="3"/>
            <charset val="129"/>
          </rPr>
          <t>표</t>
        </r>
        <r>
          <rPr>
            <sz val="9"/>
            <color indexed="81"/>
            <rFont val="Tahoma"/>
            <family val="2"/>
          </rPr>
          <t xml:space="preserve">2&gt; </t>
        </r>
        <r>
          <rPr>
            <sz val="9"/>
            <color indexed="81"/>
            <rFont val="돋움"/>
            <family val="3"/>
            <charset val="129"/>
          </rPr>
          <t>중</t>
        </r>
        <r>
          <rPr>
            <sz val="9"/>
            <color indexed="81"/>
            <rFont val="Tahoma"/>
            <family val="2"/>
          </rPr>
          <t xml:space="preserve"> </t>
        </r>
        <r>
          <rPr>
            <sz val="9"/>
            <color indexed="81"/>
            <rFont val="돋움"/>
            <family val="3"/>
            <charset val="129"/>
          </rPr>
          <t>Ⅰ란의</t>
        </r>
        <r>
          <rPr>
            <sz val="9"/>
            <color indexed="81"/>
            <rFont val="Tahoma"/>
            <family val="2"/>
          </rPr>
          <t xml:space="preserve"> </t>
        </r>
        <r>
          <rPr>
            <sz val="9"/>
            <color indexed="81"/>
            <rFont val="돋움"/>
            <family val="3"/>
            <charset val="129"/>
          </rPr>
          <t>유효성분의</t>
        </r>
        <r>
          <rPr>
            <sz val="9"/>
            <color indexed="81"/>
            <rFont val="Tahoma"/>
            <family val="2"/>
          </rPr>
          <t xml:space="preserve"> 1</t>
        </r>
        <r>
          <rPr>
            <sz val="9"/>
            <color indexed="81"/>
            <rFont val="돋움"/>
            <family val="3"/>
            <charset val="129"/>
          </rPr>
          <t>일량의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1/10</t>
        </r>
        <r>
          <rPr>
            <sz val="9"/>
            <color indexed="81"/>
            <rFont val="돋움"/>
            <family val="3"/>
            <charset val="129"/>
          </rPr>
          <t>이다</t>
        </r>
        <r>
          <rPr>
            <sz val="9"/>
            <color indexed="81"/>
            <rFont val="Tahoma"/>
            <family val="2"/>
          </rPr>
          <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김애진</author>
    <author>09-D3217</author>
    <author>D362</author>
  </authors>
  <commentList>
    <comment ref="A6" authorId="0" shapeId="0" xr:uid="{00000000-0006-0000-0200-000001000000}">
      <text>
        <r>
          <rPr>
            <sz val="9"/>
            <color indexed="81"/>
            <rFont val="돋움"/>
            <family val="3"/>
            <charset val="129"/>
          </rPr>
          <t>(4) 4) 만 15세 미만의 어린이에 있어서 유효성분의</t>
        </r>
        <r>
          <rPr>
            <b/>
            <sz val="9"/>
            <color indexed="81"/>
            <rFont val="돋움"/>
            <family val="3"/>
            <charset val="129"/>
          </rPr>
          <t xml:space="preserve"> 1일 최대분량은 &lt;표3&gt;의 해당연령구분에 대응하는 계수란의 수치를 곱한 양</t>
        </r>
        <r>
          <rPr>
            <sz val="9"/>
            <color indexed="81"/>
            <rFont val="돋움"/>
            <family val="3"/>
            <charset val="129"/>
          </rPr>
          <t>으로 한다.</t>
        </r>
      </text>
    </comment>
    <comment ref="AA6" authorId="1" shapeId="0" xr:uid="{00000000-0006-0000-0200-000002000000}">
      <text>
        <r>
          <rPr>
            <sz val="9"/>
            <color indexed="81"/>
            <rFont val="Tahoma"/>
            <family val="2"/>
          </rPr>
          <t xml:space="preserve">(4)2) </t>
        </r>
        <r>
          <rPr>
            <sz val="9"/>
            <color indexed="81"/>
            <rFont val="돋움"/>
            <family val="3"/>
            <charset val="129"/>
          </rPr>
          <t>캡슐제는</t>
        </r>
        <r>
          <rPr>
            <sz val="9"/>
            <color indexed="81"/>
            <rFont val="Tahoma"/>
            <family val="2"/>
          </rPr>
          <t xml:space="preserve"> </t>
        </r>
        <r>
          <rPr>
            <sz val="9"/>
            <color indexed="81"/>
            <rFont val="돋움"/>
            <family val="3"/>
            <charset val="129"/>
          </rPr>
          <t>만</t>
        </r>
        <r>
          <rPr>
            <sz val="9"/>
            <color indexed="81"/>
            <rFont val="Tahoma"/>
            <family val="2"/>
          </rPr>
          <t>7</t>
        </r>
        <r>
          <rPr>
            <sz val="9"/>
            <color indexed="81"/>
            <rFont val="돋움"/>
            <family val="3"/>
            <charset val="129"/>
          </rPr>
          <t>세</t>
        </r>
        <r>
          <rPr>
            <sz val="9"/>
            <color indexed="81"/>
            <rFont val="Tahoma"/>
            <family val="2"/>
          </rPr>
          <t xml:space="preserve"> </t>
        </r>
        <r>
          <rPr>
            <sz val="9"/>
            <color indexed="81"/>
            <rFont val="돋움"/>
            <family val="3"/>
            <charset val="129"/>
          </rPr>
          <t>이하</t>
        </r>
        <r>
          <rPr>
            <sz val="9"/>
            <color indexed="81"/>
            <rFont val="Tahoma"/>
            <family val="2"/>
          </rPr>
          <t xml:space="preserve"> </t>
        </r>
        <r>
          <rPr>
            <sz val="9"/>
            <color indexed="81"/>
            <rFont val="돋움"/>
            <family val="3"/>
            <charset val="129"/>
          </rPr>
          <t>복용을</t>
        </r>
        <r>
          <rPr>
            <sz val="9"/>
            <color indexed="81"/>
            <rFont val="Tahoma"/>
            <family val="2"/>
          </rPr>
          <t xml:space="preserve"> </t>
        </r>
        <r>
          <rPr>
            <sz val="9"/>
            <color indexed="81"/>
            <rFont val="돋움"/>
            <family val="3"/>
            <charset val="129"/>
          </rPr>
          <t>인정하지</t>
        </r>
        <r>
          <rPr>
            <sz val="9"/>
            <color indexed="81"/>
            <rFont val="Tahoma"/>
            <family val="2"/>
          </rPr>
          <t xml:space="preserve"> </t>
        </r>
        <r>
          <rPr>
            <sz val="9"/>
            <color indexed="81"/>
            <rFont val="돋움"/>
            <family val="3"/>
            <charset val="129"/>
          </rPr>
          <t>아니한다</t>
        </r>
        <r>
          <rPr>
            <sz val="9"/>
            <color indexed="81"/>
            <rFont val="Tahoma"/>
            <family val="2"/>
          </rPr>
          <t>.</t>
        </r>
      </text>
    </comment>
    <comment ref="C8" authorId="1" shapeId="0" xr:uid="{00000000-0006-0000-0200-000003000000}">
      <text>
        <r>
          <rPr>
            <sz val="9"/>
            <color indexed="81"/>
            <rFont val="Tahoma"/>
            <family val="2"/>
          </rPr>
          <t xml:space="preserve">(2) 5)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P8" authorId="1" shapeId="0" xr:uid="{00000000-0006-0000-0200-000004000000}">
      <text>
        <r>
          <rPr>
            <sz val="9"/>
            <color indexed="81"/>
            <rFont val="Tahoma"/>
            <family val="2"/>
          </rPr>
          <t xml:space="preserve">(2) 5)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AC8" authorId="1" shapeId="0" xr:uid="{00000000-0006-0000-0200-000005000000}">
      <text>
        <r>
          <rPr>
            <sz val="9"/>
            <color indexed="81"/>
            <rFont val="Tahoma"/>
            <family val="2"/>
          </rPr>
          <t xml:space="preserve">(2) 5)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C9" authorId="1" shapeId="0" xr:uid="{00000000-0006-0000-0200-000006000000}">
      <text>
        <r>
          <rPr>
            <sz val="9"/>
            <color indexed="81"/>
            <rFont val="Tahoma"/>
            <family val="2"/>
          </rPr>
          <t>(2) 6) 1</t>
        </r>
        <r>
          <rPr>
            <sz val="9"/>
            <color indexed="81"/>
            <rFont val="돋움"/>
            <family val="3"/>
            <charset val="129"/>
          </rPr>
          <t>항에서</t>
        </r>
        <r>
          <rPr>
            <sz val="9"/>
            <color indexed="81"/>
            <rFont val="Tahoma"/>
            <family val="2"/>
          </rPr>
          <t xml:space="preserve"> 2</t>
        </r>
        <r>
          <rPr>
            <sz val="9"/>
            <color indexed="81"/>
            <rFont val="돋움"/>
            <family val="3"/>
            <charset val="129"/>
          </rPr>
          <t>종</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1/5</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C10" authorId="2" shapeId="0" xr:uid="{00000000-0006-0000-0200-000007000000}">
      <text>
        <r>
          <rPr>
            <sz val="9"/>
            <color indexed="81"/>
            <rFont val="Tahoma"/>
            <family val="2"/>
          </rPr>
          <t>(2) 6) 1</t>
        </r>
        <r>
          <rPr>
            <sz val="9"/>
            <color indexed="81"/>
            <rFont val="돋움"/>
            <family val="3"/>
            <charset val="129"/>
          </rPr>
          <t>항에서</t>
        </r>
        <r>
          <rPr>
            <sz val="9"/>
            <color indexed="81"/>
            <rFont val="Tahoma"/>
            <family val="2"/>
          </rPr>
          <t xml:space="preserve"> 2</t>
        </r>
        <r>
          <rPr>
            <sz val="9"/>
            <color indexed="81"/>
            <rFont val="돋움"/>
            <family val="3"/>
            <charset val="129"/>
          </rPr>
          <t>종</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1/5</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C31" authorId="1" shapeId="0" xr:uid="{00000000-0006-0000-0200-000008000000}">
      <text>
        <r>
          <rPr>
            <sz val="9"/>
            <color indexed="81"/>
            <rFont val="Tahoma"/>
            <family val="2"/>
          </rPr>
          <t xml:space="preserve">(2) 7) </t>
        </r>
        <r>
          <rPr>
            <sz val="9"/>
            <color indexed="81"/>
            <rFont val="돋움"/>
            <family val="3"/>
            <charset val="129"/>
          </rPr>
          <t>Ⅷ항의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1/5</t>
        </r>
      </text>
    </comment>
    <comment ref="C32" authorId="1" shapeId="0" xr:uid="{00000000-0006-0000-0200-000009000000}">
      <text>
        <r>
          <rPr>
            <b/>
            <sz val="9"/>
            <color indexed="81"/>
            <rFont val="돋움"/>
            <family val="3"/>
            <charset val="129"/>
          </rPr>
          <t>비타민의</t>
        </r>
        <r>
          <rPr>
            <b/>
            <sz val="9"/>
            <color indexed="81"/>
            <rFont val="Tahoma"/>
            <family val="2"/>
          </rPr>
          <t xml:space="preserve"> </t>
        </r>
        <r>
          <rPr>
            <b/>
            <sz val="9"/>
            <color indexed="81"/>
            <rFont val="돋움"/>
            <family val="3"/>
            <charset val="129"/>
          </rPr>
          <t>배합최소량</t>
        </r>
        <r>
          <rPr>
            <b/>
            <sz val="9"/>
            <color indexed="81"/>
            <rFont val="Tahoma"/>
            <family val="2"/>
          </rPr>
          <t>(</t>
        </r>
        <r>
          <rPr>
            <b/>
            <sz val="9"/>
            <color indexed="81"/>
            <rFont val="돋움"/>
            <family val="3"/>
            <charset val="129"/>
          </rPr>
          <t>배합량</t>
        </r>
        <r>
          <rPr>
            <b/>
            <sz val="9"/>
            <color indexed="81"/>
            <rFont val="Tahoma"/>
            <family val="2"/>
          </rPr>
          <t xml:space="preserve"> </t>
        </r>
        <r>
          <rPr>
            <b/>
            <sz val="9"/>
            <color indexed="81"/>
            <rFont val="돋움"/>
            <family val="3"/>
            <charset val="129"/>
          </rPr>
          <t>하한</t>
        </r>
        <r>
          <rPr>
            <b/>
            <sz val="9"/>
            <color indexed="81"/>
            <rFont val="Tahoma"/>
            <family val="2"/>
          </rPr>
          <t>)=1</t>
        </r>
        <r>
          <rPr>
            <b/>
            <sz val="9"/>
            <color indexed="81"/>
            <rFont val="돋움"/>
            <family val="3"/>
            <charset val="129"/>
          </rPr>
          <t>일최소량</t>
        </r>
        <r>
          <rPr>
            <b/>
            <sz val="9"/>
            <color indexed="81"/>
            <rFont val="돋움"/>
            <family val="3"/>
            <charset val="129"/>
          </rPr>
          <t>임</t>
        </r>
        <r>
          <rPr>
            <b/>
            <sz val="9"/>
            <color indexed="81"/>
            <rFont val="Tahoma"/>
            <family val="2"/>
          </rPr>
          <t>(</t>
        </r>
        <r>
          <rPr>
            <b/>
            <sz val="9"/>
            <color indexed="81"/>
            <rFont val="돋움"/>
            <family val="3"/>
            <charset val="129"/>
          </rPr>
          <t>식약처</t>
        </r>
        <r>
          <rPr>
            <b/>
            <sz val="9"/>
            <color indexed="81"/>
            <rFont val="Tahoma"/>
            <family val="2"/>
          </rPr>
          <t xml:space="preserve"> </t>
        </r>
        <r>
          <rPr>
            <b/>
            <sz val="9"/>
            <color indexed="81"/>
            <rFont val="돋움"/>
            <family val="3"/>
            <charset val="129"/>
          </rPr>
          <t>확인한</t>
        </r>
        <r>
          <rPr>
            <b/>
            <sz val="9"/>
            <color indexed="81"/>
            <rFont val="Tahoma"/>
            <family val="2"/>
          </rPr>
          <t xml:space="preserve"> </t>
        </r>
        <r>
          <rPr>
            <b/>
            <sz val="9"/>
            <color indexed="81"/>
            <rFont val="돋움"/>
            <family val="3"/>
            <charset val="129"/>
          </rPr>
          <t>사항</t>
        </r>
        <r>
          <rPr>
            <b/>
            <sz val="9"/>
            <color indexed="81"/>
            <rFont val="Tahoma"/>
            <family val="2"/>
          </rPr>
          <t>)</t>
        </r>
        <r>
          <rPr>
            <sz val="9"/>
            <color indexed="81"/>
            <rFont val="Tahoma"/>
            <family val="2"/>
          </rPr>
          <t xml:space="preserve">
(2)8) </t>
        </r>
        <r>
          <rPr>
            <sz val="9"/>
            <color indexed="81"/>
            <rFont val="돋움"/>
            <family val="3"/>
            <charset val="129"/>
          </rPr>
          <t>Ⅸ항의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t>
        </r>
        <r>
          <rPr>
            <sz val="9"/>
            <color indexed="81"/>
            <rFont val="돋움"/>
            <family val="3"/>
            <charset val="129"/>
          </rPr>
          <t>괄호</t>
        </r>
        <r>
          <rPr>
            <sz val="9"/>
            <color indexed="81"/>
            <rFont val="Tahoma"/>
            <family val="2"/>
          </rPr>
          <t xml:space="preserve"> </t>
        </r>
        <r>
          <rPr>
            <sz val="9"/>
            <color indexed="81"/>
            <rFont val="돋움"/>
            <family val="3"/>
            <charset val="129"/>
          </rPr>
          <t>내의</t>
        </r>
        <r>
          <rPr>
            <sz val="9"/>
            <color indexed="81"/>
            <rFont val="Tahoma"/>
            <family val="2"/>
          </rPr>
          <t xml:space="preserve"> </t>
        </r>
        <r>
          <rPr>
            <sz val="9"/>
            <color indexed="81"/>
            <rFont val="돋움"/>
            <family val="3"/>
            <charset val="129"/>
          </rPr>
          <t>양으로</t>
        </r>
        <r>
          <rPr>
            <sz val="9"/>
            <color indexed="81"/>
            <rFont val="Tahoma"/>
            <family val="2"/>
          </rPr>
          <t xml:space="preserve"> </t>
        </r>
        <r>
          <rPr>
            <sz val="9"/>
            <color indexed="81"/>
            <rFont val="돋움"/>
            <family val="3"/>
            <charset val="129"/>
          </rPr>
          <t>한다</t>
        </r>
        <r>
          <rPr>
            <sz val="9"/>
            <color indexed="81"/>
            <rFont val="Tahoma"/>
            <family val="2"/>
          </rPr>
          <t>.
&lt;</t>
        </r>
        <r>
          <rPr>
            <sz val="9"/>
            <color indexed="81"/>
            <rFont val="돋움"/>
            <family val="3"/>
            <charset val="129"/>
          </rPr>
          <t>표</t>
        </r>
        <r>
          <rPr>
            <sz val="9"/>
            <color indexed="81"/>
            <rFont val="Tahoma"/>
            <family val="2"/>
          </rPr>
          <t xml:space="preserve">1&gt; </t>
        </r>
        <r>
          <rPr>
            <sz val="9"/>
            <color indexed="81"/>
            <rFont val="돋움"/>
            <family val="3"/>
            <charset val="129"/>
          </rPr>
          <t>괄호</t>
        </r>
        <r>
          <rPr>
            <sz val="9"/>
            <color indexed="81"/>
            <rFont val="Tahoma"/>
            <family val="2"/>
          </rPr>
          <t xml:space="preserve"> </t>
        </r>
        <r>
          <rPr>
            <sz val="9"/>
            <color indexed="81"/>
            <rFont val="돋움"/>
            <family val="3"/>
            <charset val="129"/>
          </rPr>
          <t>내의</t>
        </r>
        <r>
          <rPr>
            <sz val="9"/>
            <color indexed="81"/>
            <rFont val="Tahoma"/>
            <family val="2"/>
          </rPr>
          <t xml:space="preserve"> </t>
        </r>
        <r>
          <rPr>
            <sz val="9"/>
            <color indexed="81"/>
            <rFont val="돋움"/>
            <family val="3"/>
            <charset val="129"/>
          </rPr>
          <t>수치는</t>
        </r>
        <r>
          <rPr>
            <sz val="9"/>
            <color indexed="81"/>
            <rFont val="Tahoma"/>
            <family val="2"/>
          </rPr>
          <t xml:space="preserve"> </t>
        </r>
        <r>
          <rPr>
            <sz val="9"/>
            <color indexed="81"/>
            <rFont val="돋움"/>
            <family val="3"/>
            <charset val="129"/>
          </rPr>
          <t>배합</t>
        </r>
        <r>
          <rPr>
            <sz val="9"/>
            <color indexed="81"/>
            <rFont val="Tahoma"/>
            <family val="2"/>
          </rPr>
          <t xml:space="preserve"> </t>
        </r>
        <r>
          <rPr>
            <sz val="9"/>
            <color indexed="81"/>
            <rFont val="돋움"/>
            <family val="3"/>
            <charset val="129"/>
          </rPr>
          <t>최소량</t>
        </r>
      </text>
    </comment>
    <comment ref="C35" authorId="1" shapeId="0" xr:uid="{00000000-0006-0000-0200-00000A000000}">
      <text>
        <r>
          <rPr>
            <sz val="9"/>
            <color indexed="81"/>
            <rFont val="Tahoma"/>
            <family val="2"/>
          </rPr>
          <t>(2) 9) &lt;</t>
        </r>
        <r>
          <rPr>
            <sz val="9"/>
            <color indexed="81"/>
            <rFont val="돋움"/>
            <family val="3"/>
            <charset val="129"/>
          </rPr>
          <t>표</t>
        </r>
        <r>
          <rPr>
            <sz val="9"/>
            <color indexed="81"/>
            <rFont val="Tahoma"/>
            <family val="2"/>
          </rPr>
          <t>1&gt;</t>
        </r>
        <r>
          <rPr>
            <sz val="9"/>
            <color indexed="81"/>
            <rFont val="돋움"/>
            <family val="3"/>
            <charset val="129"/>
          </rPr>
          <t>중</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다란의</t>
        </r>
        <r>
          <rPr>
            <sz val="9"/>
            <color indexed="81"/>
            <rFont val="Tahoma"/>
            <family val="2"/>
          </rPr>
          <t xml:space="preserve"> </t>
        </r>
        <r>
          <rPr>
            <sz val="9"/>
            <color indexed="81"/>
            <rFont val="돋움"/>
            <family val="3"/>
            <charset val="129"/>
          </rPr>
          <t>생약의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t>
        </r>
        <r>
          <rPr>
            <sz val="9"/>
            <color indexed="81"/>
            <rFont val="돋움"/>
            <family val="3"/>
            <charset val="129"/>
          </rPr>
          <t>각각</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1/10</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 xml:space="preserve">.
(2) 10) </t>
        </r>
        <r>
          <rPr>
            <sz val="9"/>
            <color indexed="81"/>
            <rFont val="돋움"/>
            <family val="3"/>
            <charset val="129"/>
          </rPr>
          <t>기침</t>
        </r>
        <r>
          <rPr>
            <sz val="9"/>
            <color indexed="81"/>
            <rFont val="Tahoma"/>
            <family val="2"/>
          </rPr>
          <t xml:space="preserve">, </t>
        </r>
        <r>
          <rPr>
            <sz val="9"/>
            <color indexed="81"/>
            <rFont val="돋움"/>
            <family val="3"/>
            <charset val="129"/>
          </rPr>
          <t>가래가</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나란에만</t>
        </r>
        <r>
          <rPr>
            <sz val="9"/>
            <color indexed="81"/>
            <rFont val="Tahoma"/>
            <family val="2"/>
          </rPr>
          <t xml:space="preserve"> </t>
        </r>
        <r>
          <rPr>
            <sz val="9"/>
            <color indexed="81"/>
            <rFont val="돋움"/>
            <family val="3"/>
            <charset val="129"/>
          </rPr>
          <t>의할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 xml:space="preserve">. </t>
        </r>
        <r>
          <rPr>
            <sz val="9"/>
            <color indexed="81"/>
            <rFont val="돋움"/>
            <family val="3"/>
            <charset val="129"/>
          </rPr>
          <t>다만</t>
        </r>
        <r>
          <rPr>
            <sz val="9"/>
            <color indexed="81"/>
            <rFont val="Tahoma"/>
            <family val="2"/>
          </rPr>
          <t xml:space="preserve"> </t>
        </r>
        <r>
          <rPr>
            <sz val="9"/>
            <color indexed="81"/>
            <rFont val="돋움"/>
            <family val="3"/>
            <charset val="129"/>
          </rPr>
          <t>나란을</t>
        </r>
        <r>
          <rPr>
            <sz val="9"/>
            <color indexed="81"/>
            <rFont val="Tahoma"/>
            <family val="2"/>
          </rPr>
          <t xml:space="preserve"> 2</t>
        </r>
        <r>
          <rPr>
            <sz val="9"/>
            <color indexed="81"/>
            <rFont val="돋움"/>
            <family val="3"/>
            <charset val="129"/>
          </rPr>
          <t>종</t>
        </r>
        <r>
          <rPr>
            <sz val="9"/>
            <color indexed="81"/>
            <rFont val="Tahoma"/>
            <family val="2"/>
          </rPr>
          <t xml:space="preserve"> </t>
        </r>
        <r>
          <rPr>
            <sz val="9"/>
            <color indexed="81"/>
            <rFont val="돋움"/>
            <family val="3"/>
            <charset val="129"/>
          </rPr>
          <t>이상</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1/5</t>
        </r>
      </text>
    </comment>
    <comment ref="P35" authorId="1" shapeId="0" xr:uid="{00000000-0006-0000-0200-00000B000000}">
      <text>
        <r>
          <rPr>
            <sz val="9"/>
            <color indexed="81"/>
            <rFont val="Tahoma"/>
            <family val="2"/>
          </rPr>
          <t>(2) 9) &lt;</t>
        </r>
        <r>
          <rPr>
            <sz val="9"/>
            <color indexed="81"/>
            <rFont val="돋움"/>
            <family val="3"/>
            <charset val="129"/>
          </rPr>
          <t>표</t>
        </r>
        <r>
          <rPr>
            <sz val="9"/>
            <color indexed="81"/>
            <rFont val="Tahoma"/>
            <family val="2"/>
          </rPr>
          <t>1&gt;</t>
        </r>
        <r>
          <rPr>
            <sz val="9"/>
            <color indexed="81"/>
            <rFont val="돋움"/>
            <family val="3"/>
            <charset val="129"/>
          </rPr>
          <t>중</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다란의</t>
        </r>
        <r>
          <rPr>
            <sz val="9"/>
            <color indexed="81"/>
            <rFont val="Tahoma"/>
            <family val="2"/>
          </rPr>
          <t xml:space="preserve"> </t>
        </r>
        <r>
          <rPr>
            <sz val="9"/>
            <color indexed="81"/>
            <rFont val="돋움"/>
            <family val="3"/>
            <charset val="129"/>
          </rPr>
          <t>생약의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t>
        </r>
        <r>
          <rPr>
            <sz val="9"/>
            <color indexed="81"/>
            <rFont val="돋움"/>
            <family val="3"/>
            <charset val="129"/>
          </rPr>
          <t>각각</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1/10</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 xml:space="preserve">.
(2) 10) </t>
        </r>
        <r>
          <rPr>
            <sz val="9"/>
            <color indexed="81"/>
            <rFont val="돋움"/>
            <family val="3"/>
            <charset val="129"/>
          </rPr>
          <t>기침</t>
        </r>
        <r>
          <rPr>
            <sz val="9"/>
            <color indexed="81"/>
            <rFont val="Tahoma"/>
            <family val="2"/>
          </rPr>
          <t xml:space="preserve">, </t>
        </r>
        <r>
          <rPr>
            <sz val="9"/>
            <color indexed="81"/>
            <rFont val="돋움"/>
            <family val="3"/>
            <charset val="129"/>
          </rPr>
          <t>가래가</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나란에만</t>
        </r>
        <r>
          <rPr>
            <sz val="9"/>
            <color indexed="81"/>
            <rFont val="Tahoma"/>
            <family val="2"/>
          </rPr>
          <t xml:space="preserve"> </t>
        </r>
        <r>
          <rPr>
            <sz val="9"/>
            <color indexed="81"/>
            <rFont val="돋움"/>
            <family val="3"/>
            <charset val="129"/>
          </rPr>
          <t>의할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AC35" authorId="1" shapeId="0" xr:uid="{00000000-0006-0000-0200-00000C000000}">
      <text>
        <r>
          <rPr>
            <sz val="9"/>
            <color indexed="81"/>
            <rFont val="Tahoma"/>
            <family val="2"/>
          </rPr>
          <t>(2) 9) &lt;</t>
        </r>
        <r>
          <rPr>
            <sz val="9"/>
            <color indexed="81"/>
            <rFont val="돋움"/>
            <family val="3"/>
            <charset val="129"/>
          </rPr>
          <t>표</t>
        </r>
        <r>
          <rPr>
            <sz val="9"/>
            <color indexed="81"/>
            <rFont val="Tahoma"/>
            <family val="2"/>
          </rPr>
          <t>1&gt;</t>
        </r>
        <r>
          <rPr>
            <sz val="9"/>
            <color indexed="81"/>
            <rFont val="돋움"/>
            <family val="3"/>
            <charset val="129"/>
          </rPr>
          <t>중</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다란의</t>
        </r>
        <r>
          <rPr>
            <sz val="9"/>
            <color indexed="81"/>
            <rFont val="Tahoma"/>
            <family val="2"/>
          </rPr>
          <t xml:space="preserve"> </t>
        </r>
        <r>
          <rPr>
            <sz val="9"/>
            <color indexed="81"/>
            <rFont val="돋움"/>
            <family val="3"/>
            <charset val="129"/>
          </rPr>
          <t>생약의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t>
        </r>
        <r>
          <rPr>
            <sz val="9"/>
            <color indexed="81"/>
            <rFont val="돋움"/>
            <family val="3"/>
            <charset val="129"/>
          </rPr>
          <t>각각</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1/10</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 xml:space="preserve">.
(2) 10) </t>
        </r>
        <r>
          <rPr>
            <sz val="9"/>
            <color indexed="81"/>
            <rFont val="돋움"/>
            <family val="3"/>
            <charset val="129"/>
          </rPr>
          <t>기침</t>
        </r>
        <r>
          <rPr>
            <sz val="9"/>
            <color indexed="81"/>
            <rFont val="Tahoma"/>
            <family val="2"/>
          </rPr>
          <t xml:space="preserve">, </t>
        </r>
        <r>
          <rPr>
            <sz val="9"/>
            <color indexed="81"/>
            <rFont val="돋움"/>
            <family val="3"/>
            <charset val="129"/>
          </rPr>
          <t>가래가</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나란에만</t>
        </r>
        <r>
          <rPr>
            <sz val="9"/>
            <color indexed="81"/>
            <rFont val="Tahoma"/>
            <family val="2"/>
          </rPr>
          <t xml:space="preserve"> </t>
        </r>
        <r>
          <rPr>
            <sz val="9"/>
            <color indexed="81"/>
            <rFont val="돋움"/>
            <family val="3"/>
            <charset val="129"/>
          </rPr>
          <t>의할</t>
        </r>
        <r>
          <rPr>
            <sz val="9"/>
            <color indexed="81"/>
            <rFont val="Tahoma"/>
            <family val="2"/>
          </rPr>
          <t xml:space="preserve"> </t>
        </r>
        <r>
          <rPr>
            <sz val="9"/>
            <color indexed="81"/>
            <rFont val="돋움"/>
            <family val="3"/>
            <charset val="129"/>
          </rPr>
          <t>경우</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C37" authorId="1" shapeId="0" xr:uid="{00000000-0006-0000-0200-00000D000000}">
      <text>
        <r>
          <rPr>
            <sz val="9"/>
            <color indexed="81"/>
            <rFont val="Tahoma"/>
            <family val="2"/>
          </rPr>
          <t>(2) 9) &lt;</t>
        </r>
        <r>
          <rPr>
            <sz val="9"/>
            <color indexed="81"/>
            <rFont val="돋움"/>
            <family val="3"/>
            <charset val="129"/>
          </rPr>
          <t>표</t>
        </r>
        <r>
          <rPr>
            <sz val="9"/>
            <color indexed="81"/>
            <rFont val="Tahoma"/>
            <family val="2"/>
          </rPr>
          <t>1&gt;</t>
        </r>
        <r>
          <rPr>
            <sz val="9"/>
            <color indexed="81"/>
            <rFont val="돋움"/>
            <family val="3"/>
            <charset val="129"/>
          </rPr>
          <t>중</t>
        </r>
        <r>
          <rPr>
            <sz val="9"/>
            <color indexed="81"/>
            <rFont val="Tahoma"/>
            <family val="2"/>
          </rPr>
          <t xml:space="preserve"> </t>
        </r>
        <r>
          <rPr>
            <sz val="9"/>
            <color indexed="81"/>
            <rFont val="돋움"/>
            <family val="3"/>
            <charset val="129"/>
          </rPr>
          <t>가란</t>
        </r>
        <r>
          <rPr>
            <sz val="9"/>
            <color indexed="81"/>
            <rFont val="Tahoma"/>
            <family val="2"/>
          </rPr>
          <t xml:space="preserve">, </t>
        </r>
        <r>
          <rPr>
            <sz val="9"/>
            <color indexed="81"/>
            <rFont val="돋움"/>
            <family val="3"/>
            <charset val="129"/>
          </rPr>
          <t>나란</t>
        </r>
        <r>
          <rPr>
            <sz val="9"/>
            <color indexed="81"/>
            <rFont val="Tahoma"/>
            <family val="2"/>
          </rPr>
          <t xml:space="preserve">, </t>
        </r>
        <r>
          <rPr>
            <sz val="9"/>
            <color indexed="81"/>
            <rFont val="돋움"/>
            <family val="3"/>
            <charset val="129"/>
          </rPr>
          <t>및</t>
        </r>
        <r>
          <rPr>
            <sz val="9"/>
            <color indexed="81"/>
            <rFont val="Tahoma"/>
            <family val="2"/>
          </rPr>
          <t xml:space="preserve"> </t>
        </r>
        <r>
          <rPr>
            <sz val="9"/>
            <color indexed="81"/>
            <rFont val="돋움"/>
            <family val="3"/>
            <charset val="129"/>
          </rPr>
          <t>다란의</t>
        </r>
        <r>
          <rPr>
            <sz val="9"/>
            <color indexed="81"/>
            <rFont val="Tahoma"/>
            <family val="2"/>
          </rPr>
          <t xml:space="preserve"> </t>
        </r>
        <r>
          <rPr>
            <sz val="9"/>
            <color indexed="81"/>
            <rFont val="돋움"/>
            <family val="3"/>
            <charset val="129"/>
          </rPr>
          <t>생약의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
각각</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1/10</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김애진</author>
    <author>09-D3217</author>
  </authors>
  <commentList>
    <comment ref="A6" authorId="0" shapeId="0" xr:uid="{00000000-0006-0000-0300-000001000000}">
      <text>
        <r>
          <rPr>
            <sz val="9"/>
            <color indexed="81"/>
            <rFont val="돋움"/>
            <family val="3"/>
            <charset val="129"/>
          </rPr>
          <t xml:space="preserve">(4) 6) 만 15세 미만의 소아에 있어서 유효성분의 </t>
        </r>
        <r>
          <rPr>
            <b/>
            <sz val="9"/>
            <color indexed="81"/>
            <rFont val="돋움"/>
            <family val="3"/>
            <charset val="129"/>
          </rPr>
          <t>1일 최대분량은</t>
        </r>
        <r>
          <rPr>
            <sz val="9"/>
            <color indexed="81"/>
            <rFont val="돋움"/>
            <family val="3"/>
            <charset val="129"/>
          </rPr>
          <t xml:space="preserve"> &lt;표1&gt;에 기재된 1일 최대분량에 </t>
        </r>
        <r>
          <rPr>
            <b/>
            <sz val="9"/>
            <color indexed="81"/>
            <rFont val="돋움"/>
            <family val="3"/>
            <charset val="129"/>
          </rPr>
          <t>&lt;표2&gt;의 해당 연령구분에 대응하는 계수를 곱한 양</t>
        </r>
        <r>
          <rPr>
            <sz val="9"/>
            <color indexed="81"/>
            <rFont val="돋움"/>
            <family val="3"/>
            <charset val="129"/>
          </rPr>
          <t>으로 한다. 
→ 1회 용량에는 적용하는지 내용이 없으나, 연령 계수를 적용하지 않으면 만 8세 - 11세에서 함량 기준이 이상해지고, 코리투살에프코프시럽 등 어린이 용법이 있는 제품으로 봤을때 1회 최대에도 연령 계수를 적용하는듯</t>
        </r>
      </text>
    </comment>
    <comment ref="P6" authorId="0" shapeId="0" xr:uid="{00000000-0006-0000-0300-000002000000}">
      <text>
        <r>
          <rPr>
            <sz val="9"/>
            <color indexed="81"/>
            <rFont val="돋움"/>
            <family val="3"/>
            <charset val="129"/>
          </rPr>
          <t>(4) 6) 만 15세 미만의 소아에 있어서 유효성분의 1일 최대분량은 &lt;표1&gt;에 기재된 1일 최대분량에 &lt;표2&gt;의 해당 연령구분에 대응하는 계수를 곱한 양으로 한다.</t>
        </r>
      </text>
    </comment>
    <comment ref="AE6" authorId="0" shapeId="0" xr:uid="{00000000-0006-0000-0300-000003000000}">
      <text>
        <r>
          <rPr>
            <sz val="9"/>
            <color indexed="81"/>
            <rFont val="돋움"/>
            <family val="3"/>
            <charset val="129"/>
          </rPr>
          <t>(4) 6) 만 15세 미만의 소아에 있어서 유효성분의 1일 최대분량은 &lt;표1&gt;에 기재된 1일 최대분량에 &lt;표2&gt;의 해당 연령구분에 대응하는 계수를 곱한 양으로 한다.</t>
        </r>
      </text>
    </comment>
    <comment ref="C8" authorId="0" shapeId="0" xr:uid="{00000000-0006-0000-0300-000004000000}">
      <text>
        <r>
          <rPr>
            <sz val="9"/>
            <color indexed="81"/>
            <rFont val="Tahoma"/>
            <family val="2"/>
          </rPr>
          <t xml:space="preserve">(2) 3)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및</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E8" authorId="1" shapeId="0" xr:uid="{00000000-0006-0000-0300-000005000000}">
      <text>
        <r>
          <rPr>
            <sz val="9"/>
            <color indexed="81"/>
            <rFont val="Tahoma"/>
            <family val="2"/>
          </rPr>
          <t xml:space="preserve">(2) 3)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및</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T8" authorId="1" shapeId="0" xr:uid="{00000000-0006-0000-0300-000006000000}">
      <text>
        <r>
          <rPr>
            <sz val="9"/>
            <color indexed="81"/>
            <rFont val="Tahoma"/>
            <family val="2"/>
          </rPr>
          <t xml:space="preserve">(2) 5)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AI8" authorId="1" shapeId="0" xr:uid="{00000000-0006-0000-0300-000007000000}">
      <text>
        <r>
          <rPr>
            <sz val="9"/>
            <color indexed="81"/>
            <rFont val="Tahoma"/>
            <family val="2"/>
          </rPr>
          <t xml:space="preserve">(2) 5) </t>
        </r>
        <r>
          <rPr>
            <sz val="9"/>
            <color indexed="81"/>
            <rFont val="돋움"/>
            <family val="3"/>
            <charset val="129"/>
          </rPr>
          <t>각</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최대분량의</t>
        </r>
        <r>
          <rPr>
            <sz val="9"/>
            <color indexed="81"/>
            <rFont val="Tahoma"/>
            <family val="2"/>
          </rPr>
          <t xml:space="preserve"> 1/2</t>
        </r>
      </text>
    </comment>
    <comment ref="A13" authorId="0" shapeId="0" xr:uid="{00000000-0006-0000-0300-000008000000}">
      <text>
        <r>
          <rPr>
            <sz val="9"/>
            <color indexed="81"/>
            <rFont val="Tahoma"/>
            <family val="2"/>
          </rPr>
          <t xml:space="preserve">(2) 4) </t>
        </r>
        <r>
          <rPr>
            <sz val="9"/>
            <color indexed="81"/>
            <rFont val="돋움"/>
            <family val="3"/>
            <charset val="129"/>
          </rPr>
          <t xml:space="preserve">②
</t>
        </r>
        <r>
          <rPr>
            <sz val="9"/>
            <color indexed="81"/>
            <rFont val="Tahoma"/>
            <family val="2"/>
          </rPr>
          <t>2</t>
        </r>
        <r>
          <rPr>
            <sz val="9"/>
            <color indexed="81"/>
            <rFont val="돋움"/>
            <family val="3"/>
            <charset val="129"/>
          </rPr>
          <t>항</t>
        </r>
        <r>
          <rPr>
            <sz val="9"/>
            <color indexed="81"/>
            <rFont val="Tahoma"/>
            <family val="2"/>
          </rPr>
          <t>, 4</t>
        </r>
        <r>
          <rPr>
            <sz val="9"/>
            <color indexed="81"/>
            <rFont val="돋움"/>
            <family val="3"/>
            <charset val="129"/>
          </rPr>
          <t>항</t>
        </r>
        <r>
          <rPr>
            <sz val="9"/>
            <color indexed="81"/>
            <rFont val="Tahoma"/>
            <family val="2"/>
          </rPr>
          <t xml:space="preserve"> </t>
        </r>
        <r>
          <rPr>
            <sz val="9"/>
            <color indexed="81"/>
            <rFont val="돋움"/>
            <family val="3"/>
            <charset val="129"/>
          </rPr>
          <t>이외의</t>
        </r>
        <r>
          <rPr>
            <sz val="9"/>
            <color indexed="81"/>
            <rFont val="Tahoma"/>
            <family val="2"/>
          </rPr>
          <t xml:space="preserve"> </t>
        </r>
        <r>
          <rPr>
            <sz val="9"/>
            <color indexed="81"/>
            <rFont val="돋움"/>
            <family val="3"/>
            <charset val="129"/>
          </rPr>
          <t>유효성분으로</t>
        </r>
        <r>
          <rPr>
            <sz val="9"/>
            <color indexed="81"/>
            <rFont val="Tahoma"/>
            <family val="2"/>
          </rPr>
          <t xml:space="preserve"> </t>
        </r>
        <r>
          <rPr>
            <sz val="9"/>
            <color indexed="81"/>
            <rFont val="돋움"/>
            <family val="3"/>
            <charset val="129"/>
          </rPr>
          <t>기침에</t>
        </r>
        <r>
          <rPr>
            <sz val="9"/>
            <color indexed="81"/>
            <rFont val="Tahoma"/>
            <family val="2"/>
          </rPr>
          <t xml:space="preserve"> </t>
        </r>
        <r>
          <rPr>
            <sz val="9"/>
            <color indexed="81"/>
            <rFont val="돋움"/>
            <family val="3"/>
            <charset val="129"/>
          </rPr>
          <t>대한</t>
        </r>
        <r>
          <rPr>
            <sz val="9"/>
            <color indexed="81"/>
            <rFont val="Tahoma"/>
            <family val="2"/>
          </rPr>
          <t xml:space="preserve"> </t>
        </r>
        <r>
          <rPr>
            <sz val="9"/>
            <color indexed="81"/>
            <rFont val="돋움"/>
            <family val="3"/>
            <charset val="129"/>
          </rPr>
          <t>효능을</t>
        </r>
        <r>
          <rPr>
            <sz val="9"/>
            <color indexed="81"/>
            <rFont val="Tahoma"/>
            <family val="2"/>
          </rPr>
          <t xml:space="preserve"> </t>
        </r>
        <r>
          <rPr>
            <sz val="9"/>
            <color indexed="81"/>
            <rFont val="돋움"/>
            <family val="3"/>
            <charset val="129"/>
          </rPr>
          <t>나타내는</t>
        </r>
        <r>
          <rPr>
            <sz val="9"/>
            <color indexed="81"/>
            <rFont val="Tahoma"/>
            <family val="2"/>
          </rPr>
          <t xml:space="preserve"> </t>
        </r>
        <r>
          <rPr>
            <sz val="9"/>
            <color indexed="81"/>
            <rFont val="돋움"/>
            <family val="3"/>
            <charset val="129"/>
          </rPr>
          <t>경우</t>
        </r>
        <r>
          <rPr>
            <sz val="9"/>
            <color indexed="81"/>
            <rFont val="Tahoma"/>
            <family val="2"/>
          </rPr>
          <t>, 2</t>
        </r>
        <r>
          <rPr>
            <sz val="9"/>
            <color indexed="81"/>
            <rFont val="돋움"/>
            <family val="3"/>
            <charset val="129"/>
          </rPr>
          <t>항</t>
        </r>
        <r>
          <rPr>
            <sz val="9"/>
            <color indexed="81"/>
            <rFont val="Tahoma"/>
            <family val="2"/>
          </rPr>
          <t xml:space="preserve"> </t>
        </r>
        <r>
          <rPr>
            <sz val="9"/>
            <color indexed="81"/>
            <rFont val="돋움"/>
            <family val="3"/>
            <charset val="129"/>
          </rPr>
          <t>및</t>
        </r>
        <r>
          <rPr>
            <sz val="9"/>
            <color indexed="81"/>
            <rFont val="Tahoma"/>
            <family val="2"/>
          </rPr>
          <t xml:space="preserve"> 4</t>
        </r>
        <r>
          <rPr>
            <sz val="9"/>
            <color indexed="81"/>
            <rFont val="돋움"/>
            <family val="3"/>
            <charset val="129"/>
          </rPr>
          <t>항의</t>
        </r>
        <r>
          <rPr>
            <sz val="9"/>
            <color indexed="81"/>
            <rFont val="Tahoma"/>
            <family val="2"/>
          </rPr>
          <t xml:space="preserve"> </t>
        </r>
        <r>
          <rPr>
            <sz val="9"/>
            <color indexed="81"/>
            <rFont val="돋움"/>
            <family val="3"/>
            <charset val="129"/>
          </rPr>
          <t>유효성분의</t>
        </r>
        <r>
          <rPr>
            <sz val="9"/>
            <color indexed="81"/>
            <rFont val="Tahoma"/>
            <family val="2"/>
          </rPr>
          <t xml:space="preserve"> </t>
        </r>
        <r>
          <rPr>
            <sz val="9"/>
            <color indexed="81"/>
            <rFont val="돋움"/>
            <family val="3"/>
            <charset val="129"/>
          </rPr>
          <t>배합량의</t>
        </r>
        <r>
          <rPr>
            <sz val="9"/>
            <color indexed="81"/>
            <rFont val="Tahoma"/>
            <family val="2"/>
          </rPr>
          <t xml:space="preserve"> </t>
        </r>
        <r>
          <rPr>
            <sz val="9"/>
            <color indexed="81"/>
            <rFont val="돋움"/>
            <family val="3"/>
            <charset val="129"/>
          </rPr>
          <t>하한은</t>
        </r>
        <r>
          <rPr>
            <sz val="9"/>
            <color indexed="81"/>
            <rFont val="Tahoma"/>
            <family val="2"/>
          </rPr>
          <t xml:space="preserve"> </t>
        </r>
        <r>
          <rPr>
            <sz val="9"/>
            <color indexed="81"/>
            <rFont val="돋움"/>
            <family val="3"/>
            <charset val="129"/>
          </rPr>
          <t>최대</t>
        </r>
        <r>
          <rPr>
            <sz val="9"/>
            <color indexed="81"/>
            <rFont val="Tahoma"/>
            <family val="2"/>
          </rPr>
          <t xml:space="preserve"> </t>
        </r>
        <r>
          <rPr>
            <sz val="9"/>
            <color indexed="81"/>
            <rFont val="돋움"/>
            <family val="3"/>
            <charset val="129"/>
          </rPr>
          <t>분량의</t>
        </r>
        <r>
          <rPr>
            <sz val="9"/>
            <color indexed="81"/>
            <rFont val="Tahoma"/>
            <family val="2"/>
          </rPr>
          <t xml:space="preserve"> 1/5</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D24" authorId="0" shapeId="0" xr:uid="{00000000-0006-0000-0300-000009000000}">
      <text>
        <r>
          <rPr>
            <sz val="9"/>
            <color indexed="81"/>
            <rFont val="Tahoma"/>
            <family val="2"/>
          </rPr>
          <t>(2) 1)
2</t>
        </r>
        <r>
          <rPr>
            <sz val="9"/>
            <color indexed="81"/>
            <rFont val="돋움"/>
            <family val="3"/>
            <charset val="129"/>
          </rPr>
          <t>항</t>
        </r>
        <r>
          <rPr>
            <sz val="9"/>
            <color indexed="81"/>
            <rFont val="Tahoma"/>
            <family val="2"/>
          </rPr>
          <t>, 4</t>
        </r>
        <r>
          <rPr>
            <sz val="9"/>
            <color indexed="81"/>
            <rFont val="돋움"/>
            <family val="3"/>
            <charset val="129"/>
          </rPr>
          <t>항</t>
        </r>
        <r>
          <rPr>
            <sz val="9"/>
            <color indexed="81"/>
            <rFont val="Tahoma"/>
            <family val="2"/>
          </rPr>
          <t xml:space="preserve">, </t>
        </r>
        <r>
          <rPr>
            <sz val="9"/>
            <color indexed="81"/>
            <rFont val="돋움"/>
            <family val="3"/>
            <charset val="129"/>
          </rPr>
          <t>가란의</t>
        </r>
        <r>
          <rPr>
            <sz val="9"/>
            <color indexed="81"/>
            <rFont val="Tahoma"/>
            <family val="2"/>
          </rPr>
          <t xml:space="preserve"> </t>
        </r>
        <r>
          <rPr>
            <sz val="9"/>
            <color indexed="81"/>
            <rFont val="돋움"/>
            <family val="3"/>
            <charset val="129"/>
          </rPr>
          <t>유효성분에</t>
        </r>
        <r>
          <rPr>
            <sz val="9"/>
            <color indexed="81"/>
            <rFont val="Tahoma"/>
            <family val="2"/>
          </rPr>
          <t xml:space="preserve"> 8</t>
        </r>
        <r>
          <rPr>
            <sz val="9"/>
            <color indexed="81"/>
            <rFont val="돋움"/>
            <family val="3"/>
            <charset val="129"/>
          </rPr>
          <t>항의</t>
        </r>
        <r>
          <rPr>
            <sz val="9"/>
            <color indexed="81"/>
            <rFont val="Tahoma"/>
            <family val="2"/>
          </rPr>
          <t xml:space="preserve"> </t>
        </r>
        <r>
          <rPr>
            <sz val="9"/>
            <color indexed="81"/>
            <rFont val="돋움"/>
            <family val="3"/>
            <charset val="129"/>
          </rPr>
          <t>유효성분을</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경우에</t>
        </r>
        <r>
          <rPr>
            <sz val="9"/>
            <color indexed="81"/>
            <rFont val="Tahoma"/>
            <family val="2"/>
          </rPr>
          <t xml:space="preserve"> 8</t>
        </r>
        <r>
          <rPr>
            <sz val="9"/>
            <color indexed="81"/>
            <rFont val="돋움"/>
            <family val="3"/>
            <charset val="129"/>
          </rPr>
          <t>항의</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및</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최대분량을</t>
        </r>
        <r>
          <rPr>
            <sz val="9"/>
            <color indexed="81"/>
            <rFont val="Tahoma"/>
            <family val="2"/>
          </rPr>
          <t xml:space="preserve"> &lt;</t>
        </r>
        <r>
          <rPr>
            <sz val="9"/>
            <color indexed="81"/>
            <rFont val="돋움"/>
            <family val="3"/>
            <charset val="129"/>
          </rPr>
          <t>표</t>
        </r>
        <r>
          <rPr>
            <sz val="9"/>
            <color indexed="81"/>
            <rFont val="Tahoma"/>
            <family val="2"/>
          </rPr>
          <t>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t>
        </r>
        <r>
          <rPr>
            <sz val="9"/>
            <color indexed="81"/>
            <rFont val="돋움"/>
            <family val="3"/>
            <charset val="129"/>
          </rPr>
          <t>양의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S24" authorId="0" shapeId="0" xr:uid="{00000000-0006-0000-0300-00000A000000}">
      <text>
        <r>
          <rPr>
            <sz val="9"/>
            <color indexed="81"/>
            <rFont val="Tahoma"/>
            <family val="2"/>
          </rPr>
          <t>(2) 1)
2</t>
        </r>
        <r>
          <rPr>
            <sz val="9"/>
            <color indexed="81"/>
            <rFont val="돋움"/>
            <family val="3"/>
            <charset val="129"/>
          </rPr>
          <t>항</t>
        </r>
        <r>
          <rPr>
            <sz val="9"/>
            <color indexed="81"/>
            <rFont val="Tahoma"/>
            <family val="2"/>
          </rPr>
          <t>, 4</t>
        </r>
        <r>
          <rPr>
            <sz val="9"/>
            <color indexed="81"/>
            <rFont val="돋움"/>
            <family val="3"/>
            <charset val="129"/>
          </rPr>
          <t>항</t>
        </r>
        <r>
          <rPr>
            <sz val="9"/>
            <color indexed="81"/>
            <rFont val="Tahoma"/>
            <family val="2"/>
          </rPr>
          <t xml:space="preserve">, </t>
        </r>
        <r>
          <rPr>
            <sz val="9"/>
            <color indexed="81"/>
            <rFont val="돋움"/>
            <family val="3"/>
            <charset val="129"/>
          </rPr>
          <t>가란의</t>
        </r>
        <r>
          <rPr>
            <sz val="9"/>
            <color indexed="81"/>
            <rFont val="Tahoma"/>
            <family val="2"/>
          </rPr>
          <t xml:space="preserve"> </t>
        </r>
        <r>
          <rPr>
            <sz val="9"/>
            <color indexed="81"/>
            <rFont val="돋움"/>
            <family val="3"/>
            <charset val="129"/>
          </rPr>
          <t>유효성분에</t>
        </r>
        <r>
          <rPr>
            <sz val="9"/>
            <color indexed="81"/>
            <rFont val="Tahoma"/>
            <family val="2"/>
          </rPr>
          <t xml:space="preserve"> 8</t>
        </r>
        <r>
          <rPr>
            <sz val="9"/>
            <color indexed="81"/>
            <rFont val="돋움"/>
            <family val="3"/>
            <charset val="129"/>
          </rPr>
          <t>항의</t>
        </r>
        <r>
          <rPr>
            <sz val="9"/>
            <color indexed="81"/>
            <rFont val="Tahoma"/>
            <family val="2"/>
          </rPr>
          <t xml:space="preserve"> </t>
        </r>
        <r>
          <rPr>
            <sz val="9"/>
            <color indexed="81"/>
            <rFont val="돋움"/>
            <family val="3"/>
            <charset val="129"/>
          </rPr>
          <t>유효성분을</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경우에는</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및</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최대분량을</t>
        </r>
        <r>
          <rPr>
            <sz val="9"/>
            <color indexed="81"/>
            <rFont val="Tahoma"/>
            <family val="2"/>
          </rPr>
          <t xml:space="preserve"> &lt;</t>
        </r>
        <r>
          <rPr>
            <sz val="9"/>
            <color indexed="81"/>
            <rFont val="돋움"/>
            <family val="3"/>
            <charset val="129"/>
          </rPr>
          <t>표</t>
        </r>
        <r>
          <rPr>
            <sz val="9"/>
            <color indexed="81"/>
            <rFont val="Tahoma"/>
            <family val="2"/>
          </rPr>
          <t>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t>
        </r>
        <r>
          <rPr>
            <sz val="9"/>
            <color indexed="81"/>
            <rFont val="돋움"/>
            <family val="3"/>
            <charset val="129"/>
          </rPr>
          <t>양의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AH24" authorId="0" shapeId="0" xr:uid="{00000000-0006-0000-0300-00000B000000}">
      <text>
        <r>
          <rPr>
            <sz val="9"/>
            <color indexed="81"/>
            <rFont val="Tahoma"/>
            <family val="2"/>
          </rPr>
          <t>(2) 1)
2</t>
        </r>
        <r>
          <rPr>
            <sz val="9"/>
            <color indexed="81"/>
            <rFont val="돋움"/>
            <family val="3"/>
            <charset val="129"/>
          </rPr>
          <t>항</t>
        </r>
        <r>
          <rPr>
            <sz val="9"/>
            <color indexed="81"/>
            <rFont val="Tahoma"/>
            <family val="2"/>
          </rPr>
          <t>, 4</t>
        </r>
        <r>
          <rPr>
            <sz val="9"/>
            <color indexed="81"/>
            <rFont val="돋움"/>
            <family val="3"/>
            <charset val="129"/>
          </rPr>
          <t>항</t>
        </r>
        <r>
          <rPr>
            <sz val="9"/>
            <color indexed="81"/>
            <rFont val="Tahoma"/>
            <family val="2"/>
          </rPr>
          <t xml:space="preserve">, </t>
        </r>
        <r>
          <rPr>
            <sz val="9"/>
            <color indexed="81"/>
            <rFont val="돋움"/>
            <family val="3"/>
            <charset val="129"/>
          </rPr>
          <t>가란의</t>
        </r>
        <r>
          <rPr>
            <sz val="9"/>
            <color indexed="81"/>
            <rFont val="Tahoma"/>
            <family val="2"/>
          </rPr>
          <t xml:space="preserve"> </t>
        </r>
        <r>
          <rPr>
            <sz val="9"/>
            <color indexed="81"/>
            <rFont val="돋움"/>
            <family val="3"/>
            <charset val="129"/>
          </rPr>
          <t>유효성분에</t>
        </r>
        <r>
          <rPr>
            <sz val="9"/>
            <color indexed="81"/>
            <rFont val="Tahoma"/>
            <family val="2"/>
          </rPr>
          <t xml:space="preserve"> 8</t>
        </r>
        <r>
          <rPr>
            <sz val="9"/>
            <color indexed="81"/>
            <rFont val="돋움"/>
            <family val="3"/>
            <charset val="129"/>
          </rPr>
          <t>항의</t>
        </r>
        <r>
          <rPr>
            <sz val="9"/>
            <color indexed="81"/>
            <rFont val="Tahoma"/>
            <family val="2"/>
          </rPr>
          <t xml:space="preserve"> </t>
        </r>
        <r>
          <rPr>
            <sz val="9"/>
            <color indexed="81"/>
            <rFont val="돋움"/>
            <family val="3"/>
            <charset val="129"/>
          </rPr>
          <t>유효성분을</t>
        </r>
        <r>
          <rPr>
            <sz val="9"/>
            <color indexed="81"/>
            <rFont val="Tahoma"/>
            <family val="2"/>
          </rPr>
          <t xml:space="preserve"> </t>
        </r>
        <r>
          <rPr>
            <sz val="9"/>
            <color indexed="81"/>
            <rFont val="돋움"/>
            <family val="3"/>
            <charset val="129"/>
          </rPr>
          <t>배합하는</t>
        </r>
        <r>
          <rPr>
            <sz val="9"/>
            <color indexed="81"/>
            <rFont val="Tahoma"/>
            <family val="2"/>
          </rPr>
          <t xml:space="preserve"> </t>
        </r>
        <r>
          <rPr>
            <sz val="9"/>
            <color indexed="81"/>
            <rFont val="돋움"/>
            <family val="3"/>
            <charset val="129"/>
          </rPr>
          <t>경우에는</t>
        </r>
        <r>
          <rPr>
            <sz val="9"/>
            <color indexed="81"/>
            <rFont val="Tahoma"/>
            <family val="2"/>
          </rPr>
          <t xml:space="preserve"> 1</t>
        </r>
        <r>
          <rPr>
            <sz val="9"/>
            <color indexed="81"/>
            <rFont val="돋움"/>
            <family val="3"/>
            <charset val="129"/>
          </rPr>
          <t>회</t>
        </r>
        <r>
          <rPr>
            <sz val="9"/>
            <color indexed="81"/>
            <rFont val="Tahoma"/>
            <family val="2"/>
          </rPr>
          <t xml:space="preserve"> </t>
        </r>
        <r>
          <rPr>
            <sz val="9"/>
            <color indexed="81"/>
            <rFont val="돋움"/>
            <family val="3"/>
            <charset val="129"/>
          </rPr>
          <t>및</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최대분량을</t>
        </r>
        <r>
          <rPr>
            <sz val="9"/>
            <color indexed="81"/>
            <rFont val="Tahoma"/>
            <family val="2"/>
          </rPr>
          <t xml:space="preserve"> &lt;</t>
        </r>
        <r>
          <rPr>
            <sz val="9"/>
            <color indexed="81"/>
            <rFont val="돋움"/>
            <family val="3"/>
            <charset val="129"/>
          </rPr>
          <t>표</t>
        </r>
        <r>
          <rPr>
            <sz val="9"/>
            <color indexed="81"/>
            <rFont val="Tahoma"/>
            <family val="2"/>
          </rPr>
          <t>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t>
        </r>
        <r>
          <rPr>
            <sz val="9"/>
            <color indexed="81"/>
            <rFont val="돋움"/>
            <family val="3"/>
            <charset val="129"/>
          </rPr>
          <t>양의</t>
        </r>
        <r>
          <rPr>
            <sz val="9"/>
            <color indexed="81"/>
            <rFont val="Tahoma"/>
            <family val="2"/>
          </rPr>
          <t xml:space="preserve"> 1/2</t>
        </r>
        <r>
          <rPr>
            <sz val="9"/>
            <color indexed="81"/>
            <rFont val="돋움"/>
            <family val="3"/>
            <charset val="129"/>
          </rPr>
          <t>로</t>
        </r>
        <r>
          <rPr>
            <sz val="9"/>
            <color indexed="81"/>
            <rFont val="Tahoma"/>
            <family val="2"/>
          </rPr>
          <t xml:space="preserve"> </t>
        </r>
        <r>
          <rPr>
            <sz val="9"/>
            <color indexed="81"/>
            <rFont val="돋움"/>
            <family val="3"/>
            <charset val="129"/>
          </rPr>
          <t>한다</t>
        </r>
        <r>
          <rPr>
            <sz val="9"/>
            <color indexed="81"/>
            <rFont val="Tahoma"/>
            <family val="2"/>
          </rPr>
          <t>.</t>
        </r>
      </text>
    </comment>
    <comment ref="A25" authorId="0" shapeId="0" xr:uid="{00000000-0006-0000-0300-00000C000000}">
      <text>
        <r>
          <rPr>
            <sz val="9"/>
            <color indexed="81"/>
            <rFont val="돋움"/>
            <family val="3"/>
            <charset val="129"/>
          </rPr>
          <t>원생약</t>
        </r>
        <r>
          <rPr>
            <sz val="9"/>
            <color indexed="81"/>
            <rFont val="Tahoma"/>
            <family val="2"/>
          </rPr>
          <t xml:space="preserve"> : </t>
        </r>
        <r>
          <rPr>
            <sz val="9"/>
            <color indexed="81"/>
            <rFont val="돋움"/>
            <family val="3"/>
            <charset val="129"/>
          </rPr>
          <t>동물</t>
        </r>
        <r>
          <rPr>
            <sz val="9"/>
            <color indexed="81"/>
            <rFont val="Tahoma"/>
            <family val="2"/>
          </rPr>
          <t xml:space="preserve">, </t>
        </r>
        <r>
          <rPr>
            <sz val="9"/>
            <color indexed="81"/>
            <rFont val="돋움"/>
            <family val="3"/>
            <charset val="129"/>
          </rPr>
          <t>식물</t>
        </r>
        <r>
          <rPr>
            <sz val="9"/>
            <color indexed="81"/>
            <rFont val="Tahoma"/>
            <family val="2"/>
          </rPr>
          <t xml:space="preserve"> </t>
        </r>
        <r>
          <rPr>
            <sz val="9"/>
            <color indexed="81"/>
            <rFont val="돋움"/>
            <family val="3"/>
            <charset val="129"/>
          </rPr>
          <t>또는</t>
        </r>
        <r>
          <rPr>
            <sz val="9"/>
            <color indexed="81"/>
            <rFont val="Tahoma"/>
            <family val="2"/>
          </rPr>
          <t xml:space="preserve"> </t>
        </r>
        <r>
          <rPr>
            <sz val="9"/>
            <color indexed="81"/>
            <rFont val="돋움"/>
            <family val="3"/>
            <charset val="129"/>
          </rPr>
          <t>광물에서</t>
        </r>
        <r>
          <rPr>
            <sz val="9"/>
            <color indexed="81"/>
            <rFont val="Tahoma"/>
            <family val="2"/>
          </rPr>
          <t xml:space="preserve"> </t>
        </r>
        <r>
          <rPr>
            <sz val="9"/>
            <color indexed="81"/>
            <rFont val="돋움"/>
            <family val="3"/>
            <charset val="129"/>
          </rPr>
          <t>채취된</t>
        </r>
        <r>
          <rPr>
            <sz val="9"/>
            <color indexed="81"/>
            <rFont val="Tahoma"/>
            <family val="2"/>
          </rPr>
          <t xml:space="preserve"> </t>
        </r>
        <r>
          <rPr>
            <sz val="9"/>
            <color indexed="81"/>
            <rFont val="돋움"/>
            <family val="3"/>
            <charset val="129"/>
          </rPr>
          <t>것으로서</t>
        </r>
        <r>
          <rPr>
            <sz val="9"/>
            <color indexed="81"/>
            <rFont val="Tahoma"/>
            <family val="2"/>
          </rPr>
          <t xml:space="preserve"> </t>
        </r>
        <r>
          <rPr>
            <sz val="9"/>
            <color indexed="81"/>
            <rFont val="돋움"/>
            <family val="3"/>
            <charset val="129"/>
          </rPr>
          <t>한약원료</t>
        </r>
        <r>
          <rPr>
            <sz val="9"/>
            <color indexed="81"/>
            <rFont val="Tahoma"/>
            <family val="2"/>
          </rPr>
          <t xml:space="preserve"> </t>
        </r>
        <r>
          <rPr>
            <sz val="9"/>
            <color indexed="81"/>
            <rFont val="돋움"/>
            <family val="3"/>
            <charset val="129"/>
          </rPr>
          <t>로</t>
        </r>
        <r>
          <rPr>
            <sz val="9"/>
            <color indexed="81"/>
            <rFont val="Tahoma"/>
            <family val="2"/>
          </rPr>
          <t xml:space="preserve"> </t>
        </r>
        <r>
          <rPr>
            <sz val="9"/>
            <color indexed="81"/>
            <rFont val="돋움"/>
            <family val="3"/>
            <charset val="129"/>
          </rPr>
          <t>사용하기</t>
        </r>
        <r>
          <rPr>
            <sz val="9"/>
            <color indexed="81"/>
            <rFont val="Tahoma"/>
            <family val="2"/>
          </rPr>
          <t xml:space="preserve"> </t>
        </r>
        <r>
          <rPr>
            <sz val="9"/>
            <color indexed="81"/>
            <rFont val="돋움"/>
            <family val="3"/>
            <charset val="129"/>
          </rPr>
          <t>위한</t>
        </r>
        <r>
          <rPr>
            <u/>
            <sz val="9"/>
            <color indexed="81"/>
            <rFont val="Tahoma"/>
            <family val="2"/>
          </rPr>
          <t xml:space="preserve"> </t>
        </r>
        <r>
          <rPr>
            <u/>
            <sz val="9"/>
            <color indexed="81"/>
            <rFont val="돋움"/>
            <family val="3"/>
            <charset val="129"/>
          </rPr>
          <t>세척ㆍ선별ㆍ절단</t>
        </r>
        <r>
          <rPr>
            <u/>
            <sz val="9"/>
            <color indexed="81"/>
            <rFont val="Tahoma"/>
            <family val="2"/>
          </rPr>
          <t xml:space="preserve"> </t>
        </r>
        <r>
          <rPr>
            <u/>
            <sz val="9"/>
            <color indexed="81"/>
            <rFont val="돋움"/>
            <family val="3"/>
            <charset val="129"/>
          </rPr>
          <t>등</t>
        </r>
        <r>
          <rPr>
            <u/>
            <sz val="9"/>
            <color indexed="81"/>
            <rFont val="Tahoma"/>
            <family val="2"/>
          </rPr>
          <t xml:space="preserve"> </t>
        </r>
        <r>
          <rPr>
            <u/>
            <sz val="9"/>
            <color indexed="81"/>
            <rFont val="돋움"/>
            <family val="3"/>
            <charset val="129"/>
          </rPr>
          <t>가공을</t>
        </r>
        <r>
          <rPr>
            <u/>
            <sz val="9"/>
            <color indexed="81"/>
            <rFont val="Tahoma"/>
            <family val="2"/>
          </rPr>
          <t xml:space="preserve"> </t>
        </r>
        <r>
          <rPr>
            <u/>
            <sz val="9"/>
            <color indexed="81"/>
            <rFont val="돋움"/>
            <family val="3"/>
            <charset val="129"/>
          </rPr>
          <t>하지</t>
        </r>
        <r>
          <rPr>
            <u/>
            <sz val="9"/>
            <color indexed="81"/>
            <rFont val="Tahoma"/>
            <family val="2"/>
          </rPr>
          <t xml:space="preserve"> </t>
        </r>
        <r>
          <rPr>
            <u/>
            <sz val="9"/>
            <color indexed="81"/>
            <rFont val="돋움"/>
            <family val="3"/>
            <charset val="129"/>
          </rPr>
          <t>아니한</t>
        </r>
        <r>
          <rPr>
            <u/>
            <sz val="9"/>
            <color indexed="81"/>
            <rFont val="Tahoma"/>
            <family val="2"/>
          </rPr>
          <t xml:space="preserve"> </t>
        </r>
        <r>
          <rPr>
            <u/>
            <sz val="9"/>
            <color indexed="81"/>
            <rFont val="돋움"/>
            <family val="3"/>
            <charset val="129"/>
          </rPr>
          <t>상태의</t>
        </r>
        <r>
          <rPr>
            <u/>
            <sz val="9"/>
            <color indexed="81"/>
            <rFont val="Tahoma"/>
            <family val="2"/>
          </rPr>
          <t xml:space="preserve"> </t>
        </r>
        <r>
          <rPr>
            <u/>
            <sz val="9"/>
            <color indexed="81"/>
            <rFont val="돋움"/>
            <family val="3"/>
            <charset val="129"/>
          </rPr>
          <t>것</t>
        </r>
        <r>
          <rPr>
            <sz val="9"/>
            <color indexed="81"/>
            <rFont val="돋움"/>
            <family val="3"/>
            <charset val="129"/>
          </rPr>
          <t>을</t>
        </r>
        <r>
          <rPr>
            <sz val="9"/>
            <color indexed="81"/>
            <rFont val="Tahoma"/>
            <family val="2"/>
          </rPr>
          <t xml:space="preserve"> </t>
        </r>
        <r>
          <rPr>
            <sz val="9"/>
            <color indexed="81"/>
            <rFont val="돋움"/>
            <family val="3"/>
            <charset val="129"/>
          </rPr>
          <t>말한다</t>
        </r>
        <r>
          <rPr>
            <sz val="9"/>
            <color indexed="81"/>
            <rFont val="Tahoma"/>
            <family val="2"/>
          </rPr>
          <t>.</t>
        </r>
        <r>
          <rPr>
            <b/>
            <sz val="9"/>
            <color indexed="81"/>
            <rFont val="Tahoma"/>
            <family val="2"/>
          </rPr>
          <t xml:space="preserve">
= </t>
        </r>
        <r>
          <rPr>
            <b/>
            <sz val="9"/>
            <color indexed="81"/>
            <rFont val="돋움"/>
            <family val="3"/>
            <charset val="129"/>
          </rPr>
          <t>원생약은</t>
        </r>
        <r>
          <rPr>
            <b/>
            <sz val="9"/>
            <color indexed="81"/>
            <rFont val="Tahoma"/>
            <family val="2"/>
          </rPr>
          <t xml:space="preserve"> </t>
        </r>
        <r>
          <rPr>
            <b/>
            <sz val="9"/>
            <color indexed="81"/>
            <rFont val="돋움"/>
            <family val="3"/>
            <charset val="129"/>
          </rPr>
          <t>연질캡슐에</t>
        </r>
        <r>
          <rPr>
            <b/>
            <sz val="9"/>
            <color indexed="81"/>
            <rFont val="Tahoma"/>
            <family val="2"/>
          </rPr>
          <t xml:space="preserve"> </t>
        </r>
        <r>
          <rPr>
            <b/>
            <sz val="9"/>
            <color indexed="81"/>
            <rFont val="돋움"/>
            <family val="3"/>
            <charset val="129"/>
          </rPr>
          <t>사용</t>
        </r>
        <r>
          <rPr>
            <b/>
            <sz val="9"/>
            <color indexed="81"/>
            <rFont val="Tahoma"/>
            <family val="2"/>
          </rPr>
          <t xml:space="preserve"> X, </t>
        </r>
        <r>
          <rPr>
            <b/>
            <sz val="9"/>
            <color indexed="81"/>
            <rFont val="돋움"/>
            <family val="3"/>
            <charset val="129"/>
          </rPr>
          <t>따라서</t>
        </r>
        <r>
          <rPr>
            <b/>
            <sz val="9"/>
            <color indexed="81"/>
            <rFont val="Tahoma"/>
            <family val="2"/>
          </rPr>
          <t xml:space="preserve"> </t>
        </r>
        <r>
          <rPr>
            <b/>
            <sz val="9"/>
            <color indexed="81"/>
            <rFont val="돋움"/>
            <family val="3"/>
            <charset val="129"/>
          </rPr>
          <t>수식에</t>
        </r>
        <r>
          <rPr>
            <b/>
            <sz val="9"/>
            <color indexed="81"/>
            <rFont val="Tahoma"/>
            <family val="2"/>
          </rPr>
          <t xml:space="preserve"> </t>
        </r>
        <r>
          <rPr>
            <b/>
            <sz val="9"/>
            <color indexed="81"/>
            <rFont val="돋움"/>
            <family val="3"/>
            <charset val="129"/>
          </rPr>
          <t>적용하지</t>
        </r>
        <r>
          <rPr>
            <b/>
            <sz val="9"/>
            <color indexed="81"/>
            <rFont val="Tahoma"/>
            <family val="2"/>
          </rPr>
          <t xml:space="preserve"> </t>
        </r>
        <r>
          <rPr>
            <b/>
            <sz val="9"/>
            <color indexed="81"/>
            <rFont val="돋움"/>
            <family val="3"/>
            <charset val="129"/>
          </rPr>
          <t>않음</t>
        </r>
        <r>
          <rPr>
            <b/>
            <sz val="9"/>
            <color indexed="81"/>
            <rFont val="Tahoma"/>
            <family val="2"/>
          </rPr>
          <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김애진</author>
    <author>user</author>
  </authors>
  <commentList>
    <comment ref="A7" authorId="0" shapeId="0" xr:uid="{00000000-0006-0000-0400-000001000000}">
      <text>
        <r>
          <rPr>
            <sz val="9"/>
            <color indexed="81"/>
            <rFont val="Tahoma"/>
            <family val="2"/>
          </rPr>
          <t>(</t>
        </r>
        <r>
          <rPr>
            <sz val="9"/>
            <color indexed="81"/>
            <rFont val="돋움"/>
            <family val="3"/>
            <charset val="129"/>
          </rPr>
          <t>라</t>
        </r>
        <r>
          <rPr>
            <sz val="9"/>
            <color indexed="81"/>
            <rFont val="Tahoma"/>
            <family val="2"/>
          </rPr>
          <t xml:space="preserve">) 7) </t>
        </r>
        <r>
          <rPr>
            <sz val="9"/>
            <color indexed="81"/>
            <rFont val="돋움"/>
            <family val="3"/>
            <charset val="129"/>
          </rPr>
          <t>만</t>
        </r>
        <r>
          <rPr>
            <sz val="9"/>
            <color indexed="81"/>
            <rFont val="Tahoma"/>
            <family val="2"/>
          </rPr>
          <t xml:space="preserve"> 15</t>
        </r>
        <r>
          <rPr>
            <sz val="9"/>
            <color indexed="81"/>
            <rFont val="돋움"/>
            <family val="3"/>
            <charset val="129"/>
          </rPr>
          <t>세</t>
        </r>
        <r>
          <rPr>
            <sz val="9"/>
            <color indexed="81"/>
            <rFont val="Tahoma"/>
            <family val="2"/>
          </rPr>
          <t xml:space="preserve"> </t>
        </r>
        <r>
          <rPr>
            <sz val="9"/>
            <color indexed="81"/>
            <rFont val="돋움"/>
            <family val="3"/>
            <charset val="129"/>
          </rPr>
          <t>미만의</t>
        </r>
        <r>
          <rPr>
            <sz val="9"/>
            <color indexed="81"/>
            <rFont val="Tahoma"/>
            <family val="2"/>
          </rPr>
          <t xml:space="preserve"> </t>
        </r>
        <r>
          <rPr>
            <sz val="9"/>
            <color indexed="81"/>
            <rFont val="돋움"/>
            <family val="3"/>
            <charset val="129"/>
          </rPr>
          <t>소아에</t>
        </r>
        <r>
          <rPr>
            <sz val="9"/>
            <color indexed="81"/>
            <rFont val="Tahoma"/>
            <family val="2"/>
          </rPr>
          <t xml:space="preserve"> </t>
        </r>
        <r>
          <rPr>
            <sz val="9"/>
            <color indexed="81"/>
            <rFont val="돋움"/>
            <family val="3"/>
            <charset val="129"/>
          </rPr>
          <t>대한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최대분량은</t>
        </r>
        <r>
          <rPr>
            <sz val="9"/>
            <color indexed="81"/>
            <rFont val="Tahoma"/>
            <family val="2"/>
          </rPr>
          <t xml:space="preserve"> &lt;</t>
        </r>
        <r>
          <rPr>
            <sz val="9"/>
            <color indexed="81"/>
            <rFont val="돋움"/>
            <family val="3"/>
            <charset val="129"/>
          </rPr>
          <t>표</t>
        </r>
        <r>
          <rPr>
            <sz val="9"/>
            <color indexed="81"/>
            <rFont val="Tahoma"/>
            <family val="2"/>
          </rPr>
          <t xml:space="preserve"> 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최대분량에</t>
        </r>
        <r>
          <rPr>
            <sz val="9"/>
            <color indexed="81"/>
            <rFont val="Tahoma"/>
            <family val="2"/>
          </rPr>
          <t xml:space="preserve"> &lt;</t>
        </r>
        <r>
          <rPr>
            <sz val="9"/>
            <color indexed="81"/>
            <rFont val="돋움"/>
            <family val="3"/>
            <charset val="129"/>
          </rPr>
          <t>표</t>
        </r>
        <r>
          <rPr>
            <sz val="9"/>
            <color indexed="81"/>
            <rFont val="Tahoma"/>
            <family val="2"/>
          </rPr>
          <t xml:space="preserve"> 3&gt;</t>
        </r>
        <r>
          <rPr>
            <sz val="9"/>
            <color indexed="81"/>
            <rFont val="돋움"/>
            <family val="3"/>
            <charset val="129"/>
          </rPr>
          <t>의</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연령구분에</t>
        </r>
        <r>
          <rPr>
            <sz val="9"/>
            <color indexed="81"/>
            <rFont val="Tahoma"/>
            <family val="2"/>
          </rPr>
          <t xml:space="preserve"> </t>
        </r>
        <r>
          <rPr>
            <sz val="9"/>
            <color indexed="81"/>
            <rFont val="돋움"/>
            <family val="3"/>
            <charset val="129"/>
          </rPr>
          <t>대응한</t>
        </r>
        <r>
          <rPr>
            <sz val="9"/>
            <color indexed="81"/>
            <rFont val="Tahoma"/>
            <family val="2"/>
          </rPr>
          <t xml:space="preserve"> </t>
        </r>
        <r>
          <rPr>
            <sz val="9"/>
            <color indexed="81"/>
            <rFont val="돋움"/>
            <family val="3"/>
            <charset val="129"/>
          </rPr>
          <t>계수란의</t>
        </r>
        <r>
          <rPr>
            <sz val="9"/>
            <color indexed="81"/>
            <rFont val="Tahoma"/>
            <family val="2"/>
          </rPr>
          <t xml:space="preserve"> </t>
        </r>
        <r>
          <rPr>
            <sz val="9"/>
            <color indexed="81"/>
            <rFont val="돋움"/>
            <family val="3"/>
            <charset val="129"/>
          </rPr>
          <t>수치를</t>
        </r>
        <r>
          <rPr>
            <sz val="9"/>
            <color indexed="81"/>
            <rFont val="Tahoma"/>
            <family val="2"/>
          </rPr>
          <t xml:space="preserve"> </t>
        </r>
        <r>
          <rPr>
            <sz val="9"/>
            <color indexed="81"/>
            <rFont val="돋움"/>
            <family val="3"/>
            <charset val="129"/>
          </rPr>
          <t>곱한</t>
        </r>
        <r>
          <rPr>
            <sz val="9"/>
            <color indexed="81"/>
            <rFont val="Tahoma"/>
            <family val="2"/>
          </rPr>
          <t xml:space="preserve"> </t>
        </r>
        <r>
          <rPr>
            <sz val="9"/>
            <color indexed="81"/>
            <rFont val="돋움"/>
            <family val="3"/>
            <charset val="129"/>
          </rPr>
          <t>양으로</t>
        </r>
        <r>
          <rPr>
            <sz val="9"/>
            <color indexed="81"/>
            <rFont val="Tahoma"/>
            <family val="2"/>
          </rPr>
          <t xml:space="preserve"> </t>
        </r>
        <r>
          <rPr>
            <sz val="9"/>
            <color indexed="81"/>
            <rFont val="돋움"/>
            <family val="3"/>
            <charset val="129"/>
          </rPr>
          <t>한다</t>
        </r>
        <r>
          <rPr>
            <sz val="9"/>
            <color indexed="81"/>
            <rFont val="Tahoma"/>
            <family val="2"/>
          </rPr>
          <t>.</t>
        </r>
      </text>
    </comment>
    <comment ref="P7" authorId="0" shapeId="0" xr:uid="{00000000-0006-0000-0400-000002000000}">
      <text>
        <r>
          <rPr>
            <sz val="9"/>
            <color indexed="81"/>
            <rFont val="Tahoma"/>
            <family val="2"/>
          </rPr>
          <t>(</t>
        </r>
        <r>
          <rPr>
            <sz val="9"/>
            <color indexed="81"/>
            <rFont val="돋움"/>
            <family val="3"/>
            <charset val="129"/>
          </rPr>
          <t>라</t>
        </r>
        <r>
          <rPr>
            <sz val="9"/>
            <color indexed="81"/>
            <rFont val="Tahoma"/>
            <family val="2"/>
          </rPr>
          <t xml:space="preserve">) 7) </t>
        </r>
        <r>
          <rPr>
            <sz val="9"/>
            <color indexed="81"/>
            <rFont val="돋움"/>
            <family val="3"/>
            <charset val="129"/>
          </rPr>
          <t>만</t>
        </r>
        <r>
          <rPr>
            <sz val="9"/>
            <color indexed="81"/>
            <rFont val="Tahoma"/>
            <family val="2"/>
          </rPr>
          <t xml:space="preserve"> 15</t>
        </r>
        <r>
          <rPr>
            <sz val="9"/>
            <color indexed="81"/>
            <rFont val="돋움"/>
            <family val="3"/>
            <charset val="129"/>
          </rPr>
          <t>세</t>
        </r>
        <r>
          <rPr>
            <sz val="9"/>
            <color indexed="81"/>
            <rFont val="Tahoma"/>
            <family val="2"/>
          </rPr>
          <t xml:space="preserve"> </t>
        </r>
        <r>
          <rPr>
            <sz val="9"/>
            <color indexed="81"/>
            <rFont val="돋움"/>
            <family val="3"/>
            <charset val="129"/>
          </rPr>
          <t>미만의</t>
        </r>
        <r>
          <rPr>
            <sz val="9"/>
            <color indexed="81"/>
            <rFont val="Tahoma"/>
            <family val="2"/>
          </rPr>
          <t xml:space="preserve"> </t>
        </r>
        <r>
          <rPr>
            <sz val="9"/>
            <color indexed="81"/>
            <rFont val="돋움"/>
            <family val="3"/>
            <charset val="129"/>
          </rPr>
          <t>소아에</t>
        </r>
        <r>
          <rPr>
            <sz val="9"/>
            <color indexed="81"/>
            <rFont val="Tahoma"/>
            <family val="2"/>
          </rPr>
          <t xml:space="preserve"> </t>
        </r>
        <r>
          <rPr>
            <sz val="9"/>
            <color indexed="81"/>
            <rFont val="돋움"/>
            <family val="3"/>
            <charset val="129"/>
          </rPr>
          <t>대한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최대분량은</t>
        </r>
        <r>
          <rPr>
            <sz val="9"/>
            <color indexed="81"/>
            <rFont val="Tahoma"/>
            <family val="2"/>
          </rPr>
          <t xml:space="preserve"> &lt;</t>
        </r>
        <r>
          <rPr>
            <sz val="9"/>
            <color indexed="81"/>
            <rFont val="돋움"/>
            <family val="3"/>
            <charset val="129"/>
          </rPr>
          <t>표</t>
        </r>
        <r>
          <rPr>
            <sz val="9"/>
            <color indexed="81"/>
            <rFont val="Tahoma"/>
            <family val="2"/>
          </rPr>
          <t xml:space="preserve"> 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최대분량에</t>
        </r>
        <r>
          <rPr>
            <sz val="9"/>
            <color indexed="81"/>
            <rFont val="Tahoma"/>
            <family val="2"/>
          </rPr>
          <t xml:space="preserve"> &lt;</t>
        </r>
        <r>
          <rPr>
            <sz val="9"/>
            <color indexed="81"/>
            <rFont val="돋움"/>
            <family val="3"/>
            <charset val="129"/>
          </rPr>
          <t>표</t>
        </r>
        <r>
          <rPr>
            <sz val="9"/>
            <color indexed="81"/>
            <rFont val="Tahoma"/>
            <family val="2"/>
          </rPr>
          <t xml:space="preserve"> 3&gt;</t>
        </r>
        <r>
          <rPr>
            <sz val="9"/>
            <color indexed="81"/>
            <rFont val="돋움"/>
            <family val="3"/>
            <charset val="129"/>
          </rPr>
          <t>의</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연령구분에</t>
        </r>
        <r>
          <rPr>
            <sz val="9"/>
            <color indexed="81"/>
            <rFont val="Tahoma"/>
            <family val="2"/>
          </rPr>
          <t xml:space="preserve"> </t>
        </r>
        <r>
          <rPr>
            <sz val="9"/>
            <color indexed="81"/>
            <rFont val="돋움"/>
            <family val="3"/>
            <charset val="129"/>
          </rPr>
          <t>대응한</t>
        </r>
        <r>
          <rPr>
            <sz val="9"/>
            <color indexed="81"/>
            <rFont val="Tahoma"/>
            <family val="2"/>
          </rPr>
          <t xml:space="preserve"> </t>
        </r>
        <r>
          <rPr>
            <sz val="9"/>
            <color indexed="81"/>
            <rFont val="돋움"/>
            <family val="3"/>
            <charset val="129"/>
          </rPr>
          <t>계수란의</t>
        </r>
        <r>
          <rPr>
            <sz val="9"/>
            <color indexed="81"/>
            <rFont val="Tahoma"/>
            <family val="2"/>
          </rPr>
          <t xml:space="preserve"> </t>
        </r>
        <r>
          <rPr>
            <sz val="9"/>
            <color indexed="81"/>
            <rFont val="돋움"/>
            <family val="3"/>
            <charset val="129"/>
          </rPr>
          <t>수치를</t>
        </r>
        <r>
          <rPr>
            <sz val="9"/>
            <color indexed="81"/>
            <rFont val="Tahoma"/>
            <family val="2"/>
          </rPr>
          <t xml:space="preserve"> </t>
        </r>
        <r>
          <rPr>
            <sz val="9"/>
            <color indexed="81"/>
            <rFont val="돋움"/>
            <family val="3"/>
            <charset val="129"/>
          </rPr>
          <t>곱한</t>
        </r>
        <r>
          <rPr>
            <sz val="9"/>
            <color indexed="81"/>
            <rFont val="Tahoma"/>
            <family val="2"/>
          </rPr>
          <t xml:space="preserve"> </t>
        </r>
        <r>
          <rPr>
            <sz val="9"/>
            <color indexed="81"/>
            <rFont val="돋움"/>
            <family val="3"/>
            <charset val="129"/>
          </rPr>
          <t>양으로</t>
        </r>
        <r>
          <rPr>
            <sz val="9"/>
            <color indexed="81"/>
            <rFont val="Tahoma"/>
            <family val="2"/>
          </rPr>
          <t xml:space="preserve"> </t>
        </r>
        <r>
          <rPr>
            <sz val="9"/>
            <color indexed="81"/>
            <rFont val="돋움"/>
            <family val="3"/>
            <charset val="129"/>
          </rPr>
          <t>한다</t>
        </r>
        <r>
          <rPr>
            <sz val="9"/>
            <color indexed="81"/>
            <rFont val="Tahoma"/>
            <family val="2"/>
          </rPr>
          <t>.</t>
        </r>
      </text>
    </comment>
    <comment ref="AE7" authorId="0" shapeId="0" xr:uid="{00000000-0006-0000-0400-000003000000}">
      <text>
        <r>
          <rPr>
            <sz val="9"/>
            <color indexed="81"/>
            <rFont val="Tahoma"/>
            <family val="2"/>
          </rPr>
          <t>(</t>
        </r>
        <r>
          <rPr>
            <sz val="9"/>
            <color indexed="81"/>
            <rFont val="돋움"/>
            <family val="3"/>
            <charset val="129"/>
          </rPr>
          <t>라</t>
        </r>
        <r>
          <rPr>
            <sz val="9"/>
            <color indexed="81"/>
            <rFont val="Tahoma"/>
            <family val="2"/>
          </rPr>
          <t xml:space="preserve">) 7) </t>
        </r>
        <r>
          <rPr>
            <sz val="9"/>
            <color indexed="81"/>
            <rFont val="돋움"/>
            <family val="3"/>
            <charset val="129"/>
          </rPr>
          <t>만</t>
        </r>
        <r>
          <rPr>
            <sz val="9"/>
            <color indexed="81"/>
            <rFont val="Tahoma"/>
            <family val="2"/>
          </rPr>
          <t xml:space="preserve"> 15</t>
        </r>
        <r>
          <rPr>
            <sz val="9"/>
            <color indexed="81"/>
            <rFont val="돋움"/>
            <family val="3"/>
            <charset val="129"/>
          </rPr>
          <t>세</t>
        </r>
        <r>
          <rPr>
            <sz val="9"/>
            <color indexed="81"/>
            <rFont val="Tahoma"/>
            <family val="2"/>
          </rPr>
          <t xml:space="preserve"> </t>
        </r>
        <r>
          <rPr>
            <sz val="9"/>
            <color indexed="81"/>
            <rFont val="돋움"/>
            <family val="3"/>
            <charset val="129"/>
          </rPr>
          <t>미만의</t>
        </r>
        <r>
          <rPr>
            <sz val="9"/>
            <color indexed="81"/>
            <rFont val="Tahoma"/>
            <family val="2"/>
          </rPr>
          <t xml:space="preserve"> </t>
        </r>
        <r>
          <rPr>
            <sz val="9"/>
            <color indexed="81"/>
            <rFont val="돋움"/>
            <family val="3"/>
            <charset val="129"/>
          </rPr>
          <t>소아에</t>
        </r>
        <r>
          <rPr>
            <sz val="9"/>
            <color indexed="81"/>
            <rFont val="Tahoma"/>
            <family val="2"/>
          </rPr>
          <t xml:space="preserve"> </t>
        </r>
        <r>
          <rPr>
            <sz val="9"/>
            <color indexed="81"/>
            <rFont val="돋움"/>
            <family val="3"/>
            <charset val="129"/>
          </rPr>
          <t>대한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최대분량은</t>
        </r>
        <r>
          <rPr>
            <sz val="9"/>
            <color indexed="81"/>
            <rFont val="Tahoma"/>
            <family val="2"/>
          </rPr>
          <t xml:space="preserve"> &lt;</t>
        </r>
        <r>
          <rPr>
            <sz val="9"/>
            <color indexed="81"/>
            <rFont val="돋움"/>
            <family val="3"/>
            <charset val="129"/>
          </rPr>
          <t>표</t>
        </r>
        <r>
          <rPr>
            <sz val="9"/>
            <color indexed="81"/>
            <rFont val="Tahoma"/>
            <family val="2"/>
          </rPr>
          <t xml:space="preserve"> 1&gt;</t>
        </r>
        <r>
          <rPr>
            <sz val="9"/>
            <color indexed="81"/>
            <rFont val="돋움"/>
            <family val="3"/>
            <charset val="129"/>
          </rPr>
          <t>에</t>
        </r>
        <r>
          <rPr>
            <sz val="9"/>
            <color indexed="81"/>
            <rFont val="Tahoma"/>
            <family val="2"/>
          </rPr>
          <t xml:space="preserve"> </t>
        </r>
        <r>
          <rPr>
            <sz val="9"/>
            <color indexed="81"/>
            <rFont val="돋움"/>
            <family val="3"/>
            <charset val="129"/>
          </rPr>
          <t>기재된</t>
        </r>
        <r>
          <rPr>
            <sz val="9"/>
            <color indexed="81"/>
            <rFont val="Tahoma"/>
            <family val="2"/>
          </rPr>
          <t xml:space="preserve"> 1</t>
        </r>
        <r>
          <rPr>
            <sz val="9"/>
            <color indexed="81"/>
            <rFont val="돋움"/>
            <family val="3"/>
            <charset val="129"/>
          </rPr>
          <t>일</t>
        </r>
        <r>
          <rPr>
            <sz val="9"/>
            <color indexed="81"/>
            <rFont val="Tahoma"/>
            <family val="2"/>
          </rPr>
          <t xml:space="preserve"> </t>
        </r>
        <r>
          <rPr>
            <sz val="9"/>
            <color indexed="81"/>
            <rFont val="돋움"/>
            <family val="3"/>
            <charset val="129"/>
          </rPr>
          <t>최대분량에</t>
        </r>
        <r>
          <rPr>
            <sz val="9"/>
            <color indexed="81"/>
            <rFont val="Tahoma"/>
            <family val="2"/>
          </rPr>
          <t xml:space="preserve"> &lt;</t>
        </r>
        <r>
          <rPr>
            <sz val="9"/>
            <color indexed="81"/>
            <rFont val="돋움"/>
            <family val="3"/>
            <charset val="129"/>
          </rPr>
          <t>표</t>
        </r>
        <r>
          <rPr>
            <sz val="9"/>
            <color indexed="81"/>
            <rFont val="Tahoma"/>
            <family val="2"/>
          </rPr>
          <t xml:space="preserve"> 3&gt;</t>
        </r>
        <r>
          <rPr>
            <sz val="9"/>
            <color indexed="81"/>
            <rFont val="돋움"/>
            <family val="3"/>
            <charset val="129"/>
          </rPr>
          <t>의</t>
        </r>
        <r>
          <rPr>
            <sz val="9"/>
            <color indexed="81"/>
            <rFont val="Tahoma"/>
            <family val="2"/>
          </rPr>
          <t xml:space="preserve"> </t>
        </r>
        <r>
          <rPr>
            <sz val="9"/>
            <color indexed="81"/>
            <rFont val="돋움"/>
            <family val="3"/>
            <charset val="129"/>
          </rPr>
          <t>해당</t>
        </r>
        <r>
          <rPr>
            <sz val="9"/>
            <color indexed="81"/>
            <rFont val="Tahoma"/>
            <family val="2"/>
          </rPr>
          <t xml:space="preserve"> </t>
        </r>
        <r>
          <rPr>
            <sz val="9"/>
            <color indexed="81"/>
            <rFont val="돋움"/>
            <family val="3"/>
            <charset val="129"/>
          </rPr>
          <t>연령구분에</t>
        </r>
        <r>
          <rPr>
            <sz val="9"/>
            <color indexed="81"/>
            <rFont val="Tahoma"/>
            <family val="2"/>
          </rPr>
          <t xml:space="preserve"> </t>
        </r>
        <r>
          <rPr>
            <sz val="9"/>
            <color indexed="81"/>
            <rFont val="돋움"/>
            <family val="3"/>
            <charset val="129"/>
          </rPr>
          <t>대응한</t>
        </r>
        <r>
          <rPr>
            <sz val="9"/>
            <color indexed="81"/>
            <rFont val="Tahoma"/>
            <family val="2"/>
          </rPr>
          <t xml:space="preserve"> </t>
        </r>
        <r>
          <rPr>
            <sz val="9"/>
            <color indexed="81"/>
            <rFont val="돋움"/>
            <family val="3"/>
            <charset val="129"/>
          </rPr>
          <t>계수란의</t>
        </r>
        <r>
          <rPr>
            <sz val="9"/>
            <color indexed="81"/>
            <rFont val="Tahoma"/>
            <family val="2"/>
          </rPr>
          <t xml:space="preserve"> </t>
        </r>
        <r>
          <rPr>
            <sz val="9"/>
            <color indexed="81"/>
            <rFont val="돋움"/>
            <family val="3"/>
            <charset val="129"/>
          </rPr>
          <t>수치를</t>
        </r>
        <r>
          <rPr>
            <sz val="9"/>
            <color indexed="81"/>
            <rFont val="Tahoma"/>
            <family val="2"/>
          </rPr>
          <t xml:space="preserve"> </t>
        </r>
        <r>
          <rPr>
            <sz val="9"/>
            <color indexed="81"/>
            <rFont val="돋움"/>
            <family val="3"/>
            <charset val="129"/>
          </rPr>
          <t>곱한</t>
        </r>
        <r>
          <rPr>
            <sz val="9"/>
            <color indexed="81"/>
            <rFont val="Tahoma"/>
            <family val="2"/>
          </rPr>
          <t xml:space="preserve"> </t>
        </r>
        <r>
          <rPr>
            <sz val="9"/>
            <color indexed="81"/>
            <rFont val="돋움"/>
            <family val="3"/>
            <charset val="129"/>
          </rPr>
          <t>양으로</t>
        </r>
        <r>
          <rPr>
            <sz val="9"/>
            <color indexed="81"/>
            <rFont val="Tahoma"/>
            <family val="2"/>
          </rPr>
          <t xml:space="preserve"> </t>
        </r>
        <r>
          <rPr>
            <sz val="9"/>
            <color indexed="81"/>
            <rFont val="돋움"/>
            <family val="3"/>
            <charset val="129"/>
          </rPr>
          <t>한다</t>
        </r>
        <r>
          <rPr>
            <sz val="9"/>
            <color indexed="81"/>
            <rFont val="Tahoma"/>
            <family val="2"/>
          </rPr>
          <t>.
(</t>
        </r>
        <r>
          <rPr>
            <sz val="9"/>
            <color indexed="81"/>
            <rFont val="돋움"/>
            <family val="3"/>
            <charset val="129"/>
          </rPr>
          <t>라</t>
        </r>
        <r>
          <rPr>
            <sz val="9"/>
            <color indexed="81"/>
            <rFont val="Tahoma"/>
            <family val="2"/>
          </rPr>
          <t xml:space="preserve">) 6) </t>
        </r>
        <r>
          <rPr>
            <sz val="9"/>
            <color indexed="81"/>
            <rFont val="돋움"/>
            <family val="3"/>
            <charset val="129"/>
          </rPr>
          <t>캡슐제는</t>
        </r>
        <r>
          <rPr>
            <sz val="9"/>
            <color indexed="81"/>
            <rFont val="Tahoma"/>
            <family val="2"/>
          </rPr>
          <t xml:space="preserve"> </t>
        </r>
        <r>
          <rPr>
            <sz val="9"/>
            <color indexed="81"/>
            <rFont val="돋움"/>
            <family val="3"/>
            <charset val="129"/>
          </rPr>
          <t>만</t>
        </r>
        <r>
          <rPr>
            <sz val="9"/>
            <color indexed="81"/>
            <rFont val="Tahoma"/>
            <family val="2"/>
          </rPr>
          <t xml:space="preserve"> 7</t>
        </r>
        <r>
          <rPr>
            <sz val="9"/>
            <color indexed="81"/>
            <rFont val="돋움"/>
            <family val="3"/>
            <charset val="129"/>
          </rPr>
          <t>세</t>
        </r>
        <r>
          <rPr>
            <sz val="9"/>
            <color indexed="81"/>
            <rFont val="Tahoma"/>
            <family val="2"/>
          </rPr>
          <t xml:space="preserve"> </t>
        </r>
        <r>
          <rPr>
            <sz val="9"/>
            <color indexed="81"/>
            <rFont val="돋움"/>
            <family val="3"/>
            <charset val="129"/>
          </rPr>
          <t>이하의</t>
        </r>
        <r>
          <rPr>
            <sz val="9"/>
            <color indexed="81"/>
            <rFont val="Tahoma"/>
            <family val="2"/>
          </rPr>
          <t xml:space="preserve"> </t>
        </r>
        <r>
          <rPr>
            <sz val="9"/>
            <color indexed="81"/>
            <rFont val="돋움"/>
            <family val="3"/>
            <charset val="129"/>
          </rPr>
          <t>영유아의</t>
        </r>
        <r>
          <rPr>
            <sz val="9"/>
            <color indexed="81"/>
            <rFont val="Tahoma"/>
            <family val="2"/>
          </rPr>
          <t xml:space="preserve"> </t>
        </r>
        <r>
          <rPr>
            <sz val="9"/>
            <color indexed="81"/>
            <rFont val="돋움"/>
            <family val="3"/>
            <charset val="129"/>
          </rPr>
          <t>복용을</t>
        </r>
        <r>
          <rPr>
            <sz val="9"/>
            <color indexed="81"/>
            <rFont val="Tahoma"/>
            <family val="2"/>
          </rPr>
          <t xml:space="preserve"> </t>
        </r>
        <r>
          <rPr>
            <sz val="9"/>
            <color indexed="81"/>
            <rFont val="돋움"/>
            <family val="3"/>
            <charset val="129"/>
          </rPr>
          <t>인정하지</t>
        </r>
        <r>
          <rPr>
            <sz val="9"/>
            <color indexed="81"/>
            <rFont val="Tahoma"/>
            <family val="2"/>
          </rPr>
          <t xml:space="preserve"> </t>
        </r>
        <r>
          <rPr>
            <sz val="9"/>
            <color indexed="81"/>
            <rFont val="돋움"/>
            <family val="3"/>
            <charset val="129"/>
          </rPr>
          <t>아니한다</t>
        </r>
        <r>
          <rPr>
            <sz val="9"/>
            <color indexed="81"/>
            <rFont val="Tahoma"/>
            <family val="2"/>
          </rPr>
          <t>.</t>
        </r>
      </text>
    </comment>
    <comment ref="Q15" authorId="1" shapeId="0" xr:uid="{00000000-0006-0000-0400-000004000000}">
      <text>
        <r>
          <rPr>
            <b/>
            <sz val="9"/>
            <color indexed="81"/>
            <rFont val="Tahoma"/>
            <family val="2"/>
          </rPr>
          <t>(</t>
        </r>
        <r>
          <rPr>
            <b/>
            <sz val="9"/>
            <color indexed="81"/>
            <rFont val="돋움"/>
            <family val="3"/>
            <charset val="129"/>
          </rPr>
          <t>라</t>
        </r>
        <r>
          <rPr>
            <b/>
            <sz val="9"/>
            <color indexed="81"/>
            <rFont val="Tahoma"/>
            <family val="2"/>
          </rPr>
          <t xml:space="preserve">)8) </t>
        </r>
        <r>
          <rPr>
            <b/>
            <sz val="9"/>
            <color indexed="81"/>
            <rFont val="돋움"/>
            <family val="3"/>
            <charset val="129"/>
          </rPr>
          <t>메퀴타진을</t>
        </r>
        <r>
          <rPr>
            <b/>
            <sz val="9"/>
            <color indexed="81"/>
            <rFont val="Tahoma"/>
            <family val="2"/>
          </rPr>
          <t xml:space="preserve"> </t>
        </r>
        <r>
          <rPr>
            <b/>
            <sz val="9"/>
            <color indexed="81"/>
            <rFont val="돋움"/>
            <family val="3"/>
            <charset val="129"/>
          </rPr>
          <t>배합하는</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만</t>
        </r>
        <r>
          <rPr>
            <b/>
            <sz val="9"/>
            <color indexed="81"/>
            <rFont val="Tahoma"/>
            <family val="2"/>
          </rPr>
          <t xml:space="preserve"> 15</t>
        </r>
        <r>
          <rPr>
            <b/>
            <sz val="9"/>
            <color indexed="81"/>
            <rFont val="돋움"/>
            <family val="3"/>
            <charset val="129"/>
          </rPr>
          <t>세</t>
        </r>
        <r>
          <rPr>
            <b/>
            <sz val="9"/>
            <color indexed="81"/>
            <rFont val="Tahoma"/>
            <family val="2"/>
          </rPr>
          <t xml:space="preserve"> </t>
        </r>
        <r>
          <rPr>
            <b/>
            <sz val="9"/>
            <color indexed="81"/>
            <rFont val="돋움"/>
            <family val="3"/>
            <charset val="129"/>
          </rPr>
          <t>미만의</t>
        </r>
        <r>
          <rPr>
            <b/>
            <sz val="9"/>
            <color indexed="81"/>
            <rFont val="Tahoma"/>
            <family val="2"/>
          </rPr>
          <t xml:space="preserve"> </t>
        </r>
        <r>
          <rPr>
            <b/>
            <sz val="9"/>
            <color indexed="81"/>
            <rFont val="돋움"/>
            <family val="3"/>
            <charset val="129"/>
          </rPr>
          <t>용법은</t>
        </r>
        <r>
          <rPr>
            <b/>
            <sz val="9"/>
            <color indexed="81"/>
            <rFont val="Tahoma"/>
            <family val="2"/>
          </rPr>
          <t xml:space="preserve"> </t>
        </r>
        <r>
          <rPr>
            <b/>
            <sz val="9"/>
            <color indexed="81"/>
            <rFont val="돋움"/>
            <family val="3"/>
            <charset val="129"/>
          </rPr>
          <t>인정하지</t>
        </r>
        <r>
          <rPr>
            <b/>
            <sz val="9"/>
            <color indexed="81"/>
            <rFont val="Tahoma"/>
            <family val="2"/>
          </rPr>
          <t xml:space="preserve"> </t>
        </r>
        <r>
          <rPr>
            <b/>
            <sz val="9"/>
            <color indexed="81"/>
            <rFont val="돋움"/>
            <family val="3"/>
            <charset val="129"/>
          </rPr>
          <t xml:space="preserve">않는다
</t>
        </r>
      </text>
    </comment>
    <comment ref="AF15" authorId="1" shapeId="0" xr:uid="{00000000-0006-0000-0400-000005000000}">
      <text>
        <r>
          <rPr>
            <b/>
            <sz val="9"/>
            <color indexed="81"/>
            <rFont val="Tahoma"/>
            <family val="2"/>
          </rPr>
          <t>(</t>
        </r>
        <r>
          <rPr>
            <b/>
            <sz val="9"/>
            <color indexed="81"/>
            <rFont val="돋움"/>
            <family val="3"/>
            <charset val="129"/>
          </rPr>
          <t>라</t>
        </r>
        <r>
          <rPr>
            <b/>
            <sz val="9"/>
            <color indexed="81"/>
            <rFont val="Tahoma"/>
            <family val="2"/>
          </rPr>
          <t xml:space="preserve">)8) </t>
        </r>
        <r>
          <rPr>
            <b/>
            <sz val="9"/>
            <color indexed="81"/>
            <rFont val="돋움"/>
            <family val="3"/>
            <charset val="129"/>
          </rPr>
          <t>메퀴타진을</t>
        </r>
        <r>
          <rPr>
            <b/>
            <sz val="9"/>
            <color indexed="81"/>
            <rFont val="Tahoma"/>
            <family val="2"/>
          </rPr>
          <t xml:space="preserve"> </t>
        </r>
        <r>
          <rPr>
            <b/>
            <sz val="9"/>
            <color indexed="81"/>
            <rFont val="돋움"/>
            <family val="3"/>
            <charset val="129"/>
          </rPr>
          <t>배합하는</t>
        </r>
        <r>
          <rPr>
            <b/>
            <sz val="9"/>
            <color indexed="81"/>
            <rFont val="Tahoma"/>
            <family val="2"/>
          </rPr>
          <t xml:space="preserve"> </t>
        </r>
        <r>
          <rPr>
            <b/>
            <sz val="9"/>
            <color indexed="81"/>
            <rFont val="돋움"/>
            <family val="3"/>
            <charset val="129"/>
          </rPr>
          <t>경우</t>
        </r>
        <r>
          <rPr>
            <b/>
            <sz val="9"/>
            <color indexed="81"/>
            <rFont val="Tahoma"/>
            <family val="2"/>
          </rPr>
          <t xml:space="preserve"> </t>
        </r>
        <r>
          <rPr>
            <b/>
            <sz val="9"/>
            <color indexed="81"/>
            <rFont val="돋움"/>
            <family val="3"/>
            <charset val="129"/>
          </rPr>
          <t>만</t>
        </r>
        <r>
          <rPr>
            <b/>
            <sz val="9"/>
            <color indexed="81"/>
            <rFont val="Tahoma"/>
            <family val="2"/>
          </rPr>
          <t xml:space="preserve"> 15</t>
        </r>
        <r>
          <rPr>
            <b/>
            <sz val="9"/>
            <color indexed="81"/>
            <rFont val="돋움"/>
            <family val="3"/>
            <charset val="129"/>
          </rPr>
          <t>세</t>
        </r>
        <r>
          <rPr>
            <b/>
            <sz val="9"/>
            <color indexed="81"/>
            <rFont val="Tahoma"/>
            <family val="2"/>
          </rPr>
          <t xml:space="preserve"> </t>
        </r>
        <r>
          <rPr>
            <b/>
            <sz val="9"/>
            <color indexed="81"/>
            <rFont val="돋움"/>
            <family val="3"/>
            <charset val="129"/>
          </rPr>
          <t>미만의</t>
        </r>
        <r>
          <rPr>
            <b/>
            <sz val="9"/>
            <color indexed="81"/>
            <rFont val="Tahoma"/>
            <family val="2"/>
          </rPr>
          <t xml:space="preserve"> </t>
        </r>
        <r>
          <rPr>
            <b/>
            <sz val="9"/>
            <color indexed="81"/>
            <rFont val="돋움"/>
            <family val="3"/>
            <charset val="129"/>
          </rPr>
          <t>용법은</t>
        </r>
        <r>
          <rPr>
            <b/>
            <sz val="9"/>
            <color indexed="81"/>
            <rFont val="Tahoma"/>
            <family val="2"/>
          </rPr>
          <t xml:space="preserve"> </t>
        </r>
        <r>
          <rPr>
            <b/>
            <sz val="9"/>
            <color indexed="81"/>
            <rFont val="돋움"/>
            <family val="3"/>
            <charset val="129"/>
          </rPr>
          <t>인정하지</t>
        </r>
        <r>
          <rPr>
            <b/>
            <sz val="9"/>
            <color indexed="81"/>
            <rFont val="Tahoma"/>
            <family val="2"/>
          </rPr>
          <t xml:space="preserve"> </t>
        </r>
        <r>
          <rPr>
            <b/>
            <sz val="9"/>
            <color indexed="81"/>
            <rFont val="돋움"/>
            <family val="3"/>
            <charset val="129"/>
          </rPr>
          <t>않는다</t>
        </r>
      </text>
    </comment>
  </commentList>
</comments>
</file>

<file path=xl/sharedStrings.xml><?xml version="1.0" encoding="utf-8"?>
<sst xmlns="http://schemas.openxmlformats.org/spreadsheetml/2006/main" count="792" uniqueCount="220">
  <si>
    <t>아세트아미노펜</t>
    <phoneticPr fontId="3" type="noConversion"/>
  </si>
  <si>
    <t>에텐자미드</t>
    <phoneticPr fontId="3" type="noConversion"/>
  </si>
  <si>
    <t>d-클로르페니라민</t>
    <phoneticPr fontId="3" type="noConversion"/>
  </si>
  <si>
    <t>클로르페니라민</t>
    <phoneticPr fontId="3" type="noConversion"/>
  </si>
  <si>
    <t>카르비녹사민</t>
    <phoneticPr fontId="3" type="noConversion"/>
  </si>
  <si>
    <t>트리프롤리딘</t>
    <phoneticPr fontId="3" type="noConversion"/>
  </si>
  <si>
    <t>디펜히드라민</t>
    <phoneticPr fontId="3" type="noConversion"/>
  </si>
  <si>
    <t>브롬페니라민</t>
    <phoneticPr fontId="3" type="noConversion"/>
  </si>
  <si>
    <t>구연산티페피딘</t>
    <phoneticPr fontId="3" type="noConversion"/>
  </si>
  <si>
    <t>Ⅰ</t>
    <phoneticPr fontId="3" type="noConversion"/>
  </si>
  <si>
    <t>Ⅱ</t>
    <phoneticPr fontId="3" type="noConversion"/>
  </si>
  <si>
    <t>Ⅲ</t>
    <phoneticPr fontId="3" type="noConversion"/>
  </si>
  <si>
    <t>덱스트로메토르판</t>
    <phoneticPr fontId="3" type="noConversion"/>
  </si>
  <si>
    <t>클로페라스틴</t>
    <phoneticPr fontId="3" type="noConversion"/>
  </si>
  <si>
    <t>dl-메틸에페드린</t>
    <phoneticPr fontId="3" type="noConversion"/>
  </si>
  <si>
    <t>노스카핀</t>
    <phoneticPr fontId="3" type="noConversion"/>
  </si>
  <si>
    <t>슈도에페드린</t>
    <phoneticPr fontId="3" type="noConversion"/>
  </si>
  <si>
    <t>구아이페네신</t>
    <phoneticPr fontId="3" type="noConversion"/>
  </si>
  <si>
    <t>카페인</t>
    <phoneticPr fontId="3" type="noConversion"/>
  </si>
  <si>
    <t>비타민B1</t>
    <phoneticPr fontId="3" type="noConversion"/>
  </si>
  <si>
    <t>비타민B2</t>
    <phoneticPr fontId="3" type="noConversion"/>
  </si>
  <si>
    <t>비타민C</t>
    <phoneticPr fontId="3" type="noConversion"/>
  </si>
  <si>
    <t>Ⅳ-1</t>
    <phoneticPr fontId="3" type="noConversion"/>
  </si>
  <si>
    <t>Ⅳ-2</t>
    <phoneticPr fontId="3" type="noConversion"/>
  </si>
  <si>
    <t>Ⅴ</t>
    <phoneticPr fontId="3" type="noConversion"/>
  </si>
  <si>
    <t>페닐레프린</t>
    <phoneticPr fontId="3" type="noConversion"/>
  </si>
  <si>
    <t>Ⅵ</t>
    <phoneticPr fontId="3" type="noConversion"/>
  </si>
  <si>
    <t>Ⅷ</t>
    <phoneticPr fontId="3" type="noConversion"/>
  </si>
  <si>
    <t>Ⅸ</t>
    <phoneticPr fontId="3" type="noConversion"/>
  </si>
  <si>
    <t>1캡슐</t>
    <phoneticPr fontId="3" type="noConversion"/>
  </si>
  <si>
    <t>1일
최소분량</t>
    <phoneticPr fontId="3" type="noConversion"/>
  </si>
  <si>
    <t>1일
최대분량</t>
    <phoneticPr fontId="3" type="noConversion"/>
  </si>
  <si>
    <t>1일</t>
    <phoneticPr fontId="3" type="noConversion"/>
  </si>
  <si>
    <t>회</t>
    <phoneticPr fontId="3" type="noConversion"/>
  </si>
  <si>
    <t>캡슐</t>
    <phoneticPr fontId="3" type="noConversion"/>
  </si>
  <si>
    <t>1회</t>
    <phoneticPr fontId="3" type="noConversion"/>
  </si>
  <si>
    <t>성분명</t>
    <phoneticPr fontId="3" type="noConversion"/>
  </si>
  <si>
    <t>용법용량</t>
    <phoneticPr fontId="3" type="noConversion"/>
  </si>
  <si>
    <t>1 일</t>
    <phoneticPr fontId="3" type="noConversion"/>
  </si>
  <si>
    <t>1 회</t>
    <phoneticPr fontId="3" type="noConversion"/>
  </si>
  <si>
    <t>감기약 표제기 검토</t>
    <phoneticPr fontId="3" type="noConversion"/>
  </si>
  <si>
    <t>만 15세 이상</t>
    <phoneticPr fontId="3" type="noConversion"/>
  </si>
  <si>
    <t>만 11세 이상 - 15세 미만</t>
    <phoneticPr fontId="3" type="noConversion"/>
  </si>
  <si>
    <t>만 7세 이상 - 11세 미만</t>
    <phoneticPr fontId="3" type="noConversion"/>
  </si>
  <si>
    <t>가능 여부</t>
    <phoneticPr fontId="3" type="noConversion"/>
  </si>
  <si>
    <t>용법용량</t>
    <phoneticPr fontId="3" type="noConversion"/>
  </si>
  <si>
    <t>회</t>
    <phoneticPr fontId="3" type="noConversion"/>
  </si>
  <si>
    <t>1 회</t>
    <phoneticPr fontId="3" type="noConversion"/>
  </si>
  <si>
    <t>캡슐</t>
    <phoneticPr fontId="3" type="noConversion"/>
  </si>
  <si>
    <t>* Ⅰ항 같이 배합하는 경우</t>
    <phoneticPr fontId="3" type="noConversion"/>
  </si>
  <si>
    <t>파란색 음영부분만 입력</t>
    <phoneticPr fontId="3" type="noConversion"/>
  </si>
  <si>
    <t>비타민B2</t>
    <phoneticPr fontId="3" type="noConversion"/>
  </si>
  <si>
    <t>카페인</t>
    <phoneticPr fontId="3" type="noConversion"/>
  </si>
  <si>
    <t>페닐레프린</t>
    <phoneticPr fontId="3" type="noConversion"/>
  </si>
  <si>
    <t>슈도에페드린</t>
    <phoneticPr fontId="3" type="noConversion"/>
  </si>
  <si>
    <t>dl-메틸에페드린</t>
    <phoneticPr fontId="3" type="noConversion"/>
  </si>
  <si>
    <t>덱스트로메토르판</t>
    <phoneticPr fontId="3" type="noConversion"/>
  </si>
  <si>
    <t>카르비녹사민</t>
    <phoneticPr fontId="3" type="noConversion"/>
  </si>
  <si>
    <t>클로르페니라민</t>
    <phoneticPr fontId="3" type="noConversion"/>
  </si>
  <si>
    <t>아세트아미노펜</t>
    <phoneticPr fontId="3" type="noConversion"/>
  </si>
  <si>
    <t>1캡슐</t>
    <phoneticPr fontId="3" type="noConversion"/>
  </si>
  <si>
    <t>에텐자미드</t>
    <phoneticPr fontId="3" type="noConversion"/>
  </si>
  <si>
    <t>이부프로펜</t>
    <phoneticPr fontId="3" type="noConversion"/>
  </si>
  <si>
    <t>카페인수화물</t>
    <phoneticPr fontId="3" type="noConversion"/>
  </si>
  <si>
    <t>카페인무수물</t>
    <phoneticPr fontId="3" type="noConversion"/>
  </si>
  <si>
    <t>Ⅳ</t>
    <phoneticPr fontId="3" type="noConversion"/>
  </si>
  <si>
    <t>규산마그네슘</t>
    <phoneticPr fontId="3" type="noConversion"/>
  </si>
  <si>
    <t>산화마그네슘</t>
    <phoneticPr fontId="3" type="noConversion"/>
  </si>
  <si>
    <t>Ⅲ</t>
    <phoneticPr fontId="3" type="noConversion"/>
  </si>
  <si>
    <t>(1) 4) Ⅲ항의 유효성분을 배합하는 경우는 Ⅲ항의 유효성분 중 1종만 배합한다.</t>
    <phoneticPr fontId="3" type="noConversion"/>
  </si>
  <si>
    <t xml:space="preserve">(1) 5) Ⅱ항의 성분인 이부프로펜은 Ⅰ항과 배합하지 않는다. </t>
    <phoneticPr fontId="3" type="noConversion"/>
  </si>
  <si>
    <t>(4) 용법용량은 1일 1~3회까지로 한다.</t>
    <phoneticPr fontId="3" type="noConversion"/>
  </si>
  <si>
    <t>디펜히드라민염산염</t>
    <phoneticPr fontId="3" type="noConversion"/>
  </si>
  <si>
    <t>독실아민숙신산염</t>
    <phoneticPr fontId="3" type="noConversion"/>
  </si>
  <si>
    <t>나</t>
    <phoneticPr fontId="3" type="noConversion"/>
  </si>
  <si>
    <t>다</t>
    <phoneticPr fontId="3" type="noConversion"/>
  </si>
  <si>
    <t>감초(가루)</t>
    <phoneticPr fontId="3" type="noConversion"/>
  </si>
  <si>
    <t>육계(가루)</t>
    <phoneticPr fontId="3" type="noConversion"/>
  </si>
  <si>
    <t>(1) 2) 배합하지 않으면 안되는 유효성분은 Ⅰ항과 Ⅱ항 성분 중 1종 이상으로 한다.</t>
    <phoneticPr fontId="3" type="noConversion"/>
  </si>
  <si>
    <t>파마브롬</t>
    <phoneticPr fontId="3" type="noConversion"/>
  </si>
  <si>
    <t>구분</t>
    <phoneticPr fontId="3" type="noConversion"/>
  </si>
  <si>
    <t>구연산티페피딘</t>
    <phoneticPr fontId="3" type="noConversion"/>
  </si>
  <si>
    <t>dl-메틸에페드린</t>
    <phoneticPr fontId="3" type="noConversion"/>
  </si>
  <si>
    <t>노스카핀</t>
    <phoneticPr fontId="3" type="noConversion"/>
  </si>
  <si>
    <t>카페인</t>
    <phoneticPr fontId="3" type="noConversion"/>
  </si>
  <si>
    <t>~</t>
    <phoneticPr fontId="3" type="noConversion"/>
  </si>
  <si>
    <t>메타규산알루민산
마그네슘</t>
    <phoneticPr fontId="3" type="noConversion"/>
  </si>
  <si>
    <t>~</t>
    <phoneticPr fontId="3" type="noConversion"/>
  </si>
  <si>
    <t>티페피딘</t>
    <phoneticPr fontId="3" type="noConversion"/>
  </si>
  <si>
    <t>Ⅱ-1</t>
    <phoneticPr fontId="3" type="noConversion"/>
  </si>
  <si>
    <t>Ⅴ</t>
  </si>
  <si>
    <t>성분명</t>
    <phoneticPr fontId="3" type="noConversion"/>
  </si>
  <si>
    <t>1캡슐</t>
    <phoneticPr fontId="3" type="noConversion"/>
  </si>
  <si>
    <t>가능 여부</t>
    <phoneticPr fontId="3" type="noConversion"/>
  </si>
  <si>
    <t>클로페라스틴</t>
    <phoneticPr fontId="3" type="noConversion"/>
  </si>
  <si>
    <t>트리메토퀴놀</t>
    <phoneticPr fontId="3" type="noConversion"/>
  </si>
  <si>
    <t>구아야콜설폰산</t>
    <phoneticPr fontId="3" type="noConversion"/>
  </si>
  <si>
    <t>구아이페네신</t>
    <phoneticPr fontId="3" type="noConversion"/>
  </si>
  <si>
    <t>d-클로르페니라민</t>
    <phoneticPr fontId="3" type="noConversion"/>
  </si>
  <si>
    <t>클로르페니라민</t>
    <phoneticPr fontId="3" type="noConversion"/>
  </si>
  <si>
    <t>카르비녹사민</t>
    <phoneticPr fontId="3" type="noConversion"/>
  </si>
  <si>
    <t>트리프롤리딘</t>
    <phoneticPr fontId="3" type="noConversion"/>
  </si>
  <si>
    <t>1회 최소</t>
    <phoneticPr fontId="3" type="noConversion"/>
  </si>
  <si>
    <t>1회 최대</t>
    <phoneticPr fontId="3" type="noConversion"/>
  </si>
  <si>
    <t>1일 최소</t>
    <phoneticPr fontId="3" type="noConversion"/>
  </si>
  <si>
    <t>1일 최대</t>
    <phoneticPr fontId="3" type="noConversion"/>
  </si>
  <si>
    <t>표제기 기준</t>
    <phoneticPr fontId="3" type="noConversion"/>
  </si>
  <si>
    <t>1회 최소</t>
    <phoneticPr fontId="3" type="noConversion"/>
  </si>
  <si>
    <t>1회 최대</t>
    <phoneticPr fontId="3" type="noConversion"/>
  </si>
  <si>
    <t>1일 최대</t>
    <phoneticPr fontId="3" type="noConversion"/>
  </si>
  <si>
    <t>적합 여부</t>
    <phoneticPr fontId="3" type="noConversion"/>
  </si>
  <si>
    <t>[2. 기준]</t>
    <phoneticPr fontId="3" type="noConversion"/>
  </si>
  <si>
    <t>(2) 5) Ⅰ항의 유효성분을 2종이상 배합하는 경우 해당 성분을 각각 1회 최대으로 나누어 얻은 수치의 합이 1/2이상, 3/2이하</t>
    <phoneticPr fontId="3" type="noConversion"/>
  </si>
  <si>
    <t>비타민 B1 및 그 유도체</t>
    <phoneticPr fontId="3" type="noConversion"/>
  </si>
  <si>
    <t>비타민 B2 및 그 유도체</t>
    <phoneticPr fontId="3" type="noConversion"/>
  </si>
  <si>
    <t>비타민 C 및 그 유도체</t>
    <phoneticPr fontId="3" type="noConversion"/>
  </si>
  <si>
    <r>
      <t xml:space="preserve">&lt;표3. 연령계수&gt; 
만 </t>
    </r>
    <r>
      <rPr>
        <b/>
        <sz val="11"/>
        <color theme="1"/>
        <rFont val="맑은 고딕"/>
        <family val="3"/>
        <charset val="129"/>
        <scheme val="minor"/>
      </rPr>
      <t xml:space="preserve">15세 </t>
    </r>
    <r>
      <rPr>
        <sz val="10"/>
        <color theme="1"/>
        <rFont val="맑은 고딕"/>
        <family val="3"/>
        <charset val="129"/>
        <scheme val="minor"/>
      </rPr>
      <t>이상</t>
    </r>
    <phoneticPr fontId="3" type="noConversion"/>
  </si>
  <si>
    <r>
      <t xml:space="preserve">&lt;표3. 연령계수&gt;
만 </t>
    </r>
    <r>
      <rPr>
        <b/>
        <sz val="11"/>
        <color theme="1"/>
        <rFont val="맑은 고딕"/>
        <family val="3"/>
        <charset val="129"/>
        <scheme val="minor"/>
      </rPr>
      <t xml:space="preserve">11세 </t>
    </r>
    <r>
      <rPr>
        <sz val="10"/>
        <color theme="1"/>
        <rFont val="맑은 고딕"/>
        <family val="3"/>
        <charset val="129"/>
        <scheme val="minor"/>
      </rPr>
      <t>이상 -</t>
    </r>
    <r>
      <rPr>
        <sz val="11"/>
        <color theme="1"/>
        <rFont val="맑은 고딕"/>
        <family val="3"/>
        <charset val="129"/>
        <scheme val="minor"/>
      </rPr>
      <t xml:space="preserve"> </t>
    </r>
    <r>
      <rPr>
        <b/>
        <sz val="11"/>
        <color theme="1"/>
        <rFont val="맑은 고딕"/>
        <family val="3"/>
        <charset val="129"/>
        <scheme val="minor"/>
      </rPr>
      <t>15세</t>
    </r>
    <r>
      <rPr>
        <sz val="10"/>
        <color theme="1"/>
        <rFont val="맑은 고딕"/>
        <family val="3"/>
        <charset val="129"/>
        <scheme val="minor"/>
      </rPr>
      <t xml:space="preserve"> 미만</t>
    </r>
    <phoneticPr fontId="3" type="noConversion"/>
  </si>
  <si>
    <r>
      <t xml:space="preserve">&lt;표3. 연령계수&gt;
만 </t>
    </r>
    <r>
      <rPr>
        <b/>
        <sz val="11"/>
        <color theme="1"/>
        <rFont val="맑은 고딕"/>
        <family val="3"/>
        <charset val="129"/>
        <scheme val="minor"/>
      </rPr>
      <t>8세</t>
    </r>
    <r>
      <rPr>
        <sz val="10"/>
        <color theme="1"/>
        <rFont val="맑은 고딕"/>
        <family val="3"/>
        <charset val="129"/>
        <scheme val="minor"/>
      </rPr>
      <t xml:space="preserve"> 이상 - </t>
    </r>
    <r>
      <rPr>
        <b/>
        <sz val="11"/>
        <color theme="1"/>
        <rFont val="맑은 고딕"/>
        <family val="3"/>
        <charset val="129"/>
        <scheme val="minor"/>
      </rPr>
      <t>11세</t>
    </r>
    <r>
      <rPr>
        <sz val="10"/>
        <color theme="1"/>
        <rFont val="맑은 고딕"/>
        <family val="3"/>
        <charset val="129"/>
        <scheme val="minor"/>
      </rPr>
      <t xml:space="preserve"> 미만</t>
    </r>
    <phoneticPr fontId="3" type="noConversion"/>
  </si>
  <si>
    <r>
      <t xml:space="preserve">진통제 </t>
    </r>
    <r>
      <rPr>
        <b/>
        <sz val="24"/>
        <color theme="1"/>
        <rFont val="맑은 고딕"/>
        <family val="3"/>
        <charset val="129"/>
        <scheme val="minor"/>
      </rPr>
      <t>표제기 검토</t>
    </r>
    <phoneticPr fontId="3" type="noConversion"/>
  </si>
  <si>
    <r>
      <rPr>
        <b/>
        <sz val="11"/>
        <color rgb="FFFF0000"/>
        <rFont val="맑은 고딕"/>
        <family val="3"/>
        <charset val="129"/>
        <scheme val="minor"/>
      </rPr>
      <t>※ 입력시 주의사항</t>
    </r>
    <r>
      <rPr>
        <sz val="10"/>
        <color theme="1"/>
        <rFont val="맑은 고딕"/>
        <family val="2"/>
        <charset val="129"/>
        <scheme val="minor"/>
      </rPr>
      <t xml:space="preserve">
</t>
    </r>
    <r>
      <rPr>
        <sz val="10"/>
        <color theme="1"/>
        <rFont val="맑은 고딕"/>
        <family val="3"/>
        <charset val="129"/>
        <scheme val="minor"/>
      </rPr>
      <t>1.</t>
    </r>
    <r>
      <rPr>
        <b/>
        <sz val="10"/>
        <color theme="1"/>
        <rFont val="맑은 고딕"/>
        <family val="3"/>
        <charset val="129"/>
        <scheme val="minor"/>
      </rPr>
      <t xml:space="preserve"> 파란색 음영 표시된 부분만 입력★ (파란색 이외 수정금지)</t>
    </r>
    <r>
      <rPr>
        <sz val="10"/>
        <color theme="1"/>
        <rFont val="맑은 고딕"/>
        <family val="3"/>
        <charset val="129"/>
        <scheme val="minor"/>
      </rPr>
      <t xml:space="preserve">
2. 처방이 없는 경우 비워둔다</t>
    </r>
    <phoneticPr fontId="3" type="noConversion"/>
  </si>
  <si>
    <t>1캡슐 기준</t>
    <phoneticPr fontId="3" type="noConversion"/>
  </si>
  <si>
    <r>
      <t xml:space="preserve">감기약 </t>
    </r>
    <r>
      <rPr>
        <b/>
        <sz val="24"/>
        <color theme="1"/>
        <rFont val="맑은 고딕"/>
        <family val="3"/>
        <charset val="129"/>
        <scheme val="minor"/>
      </rPr>
      <t>표제기 검토</t>
    </r>
    <phoneticPr fontId="3" type="noConversion"/>
  </si>
  <si>
    <t>(2) 6) Ⅰ항을 유효성분을 2종 이상 배합하는 경우 각각 1일 최대분량으로 나누어 얻은 수치의 합이 1/2 이상</t>
    <phoneticPr fontId="3" type="noConversion"/>
  </si>
  <si>
    <r>
      <t xml:space="preserve">&lt;표3. 연령계수&gt; 
만 </t>
    </r>
    <r>
      <rPr>
        <b/>
        <sz val="11"/>
        <color theme="1"/>
        <rFont val="맑은 고딕"/>
        <family val="3"/>
        <charset val="129"/>
        <scheme val="minor"/>
      </rPr>
      <t xml:space="preserve">11세 </t>
    </r>
    <r>
      <rPr>
        <sz val="10"/>
        <color theme="1"/>
        <rFont val="맑은 고딕"/>
        <family val="3"/>
        <charset val="129"/>
        <scheme val="minor"/>
      </rPr>
      <t>이상 -</t>
    </r>
    <r>
      <rPr>
        <sz val="11"/>
        <color theme="1"/>
        <rFont val="맑은 고딕"/>
        <family val="3"/>
        <charset val="129"/>
        <scheme val="minor"/>
      </rPr>
      <t xml:space="preserve"> </t>
    </r>
    <r>
      <rPr>
        <b/>
        <sz val="11"/>
        <color theme="1"/>
        <rFont val="맑은 고딕"/>
        <family val="3"/>
        <charset val="129"/>
        <scheme val="minor"/>
      </rPr>
      <t>15세</t>
    </r>
    <r>
      <rPr>
        <sz val="10"/>
        <color theme="1"/>
        <rFont val="맑은 고딕"/>
        <family val="3"/>
        <charset val="129"/>
        <scheme val="minor"/>
      </rPr>
      <t xml:space="preserve"> 미만</t>
    </r>
    <phoneticPr fontId="3" type="noConversion"/>
  </si>
  <si>
    <r>
      <t xml:space="preserve">&lt;표3. 연령계수&gt; 
만 </t>
    </r>
    <r>
      <rPr>
        <b/>
        <sz val="11"/>
        <color theme="1"/>
        <rFont val="맑은 고딕"/>
        <family val="3"/>
        <charset val="129"/>
        <scheme val="minor"/>
      </rPr>
      <t>8세</t>
    </r>
    <r>
      <rPr>
        <sz val="10"/>
        <color theme="1"/>
        <rFont val="맑은 고딕"/>
        <family val="3"/>
        <charset val="129"/>
        <scheme val="minor"/>
      </rPr>
      <t xml:space="preserve"> 이상 - </t>
    </r>
    <r>
      <rPr>
        <b/>
        <sz val="11"/>
        <color theme="1"/>
        <rFont val="맑은 고딕"/>
        <family val="3"/>
        <charset val="129"/>
        <scheme val="minor"/>
      </rPr>
      <t>11세</t>
    </r>
    <r>
      <rPr>
        <sz val="10"/>
        <color theme="1"/>
        <rFont val="맑은 고딕"/>
        <family val="3"/>
        <charset val="129"/>
        <scheme val="minor"/>
      </rPr>
      <t xml:space="preserve"> 미만</t>
    </r>
    <phoneticPr fontId="3" type="noConversion"/>
  </si>
  <si>
    <r>
      <t>진해거담제</t>
    </r>
    <r>
      <rPr>
        <b/>
        <sz val="20"/>
        <color theme="1"/>
        <rFont val="맑은 고딕"/>
        <family val="3"/>
        <charset val="129"/>
        <scheme val="minor"/>
      </rPr>
      <t xml:space="preserve"> </t>
    </r>
    <r>
      <rPr>
        <b/>
        <sz val="24"/>
        <color theme="1"/>
        <rFont val="맑은 고딕"/>
        <family val="3"/>
        <charset val="129"/>
        <scheme val="minor"/>
      </rPr>
      <t>표제기 검토</t>
    </r>
    <phoneticPr fontId="3" type="noConversion"/>
  </si>
  <si>
    <t>(1) 2) 반드시 배합해야 할 유효성분은 &lt;표1&gt;의 1항, 2항, 3항, 가란의 유효성분 중 1종</t>
    <phoneticPr fontId="3" type="noConversion"/>
  </si>
  <si>
    <t>(1) 3) 8항의 유효성분은 1항 또는 7항의 유효성분을 함유하는 제제에 한해서만 배합할 수 있다.</t>
    <phoneticPr fontId="3" type="noConversion"/>
  </si>
  <si>
    <t>(1) 4) 1~9항의 유효성분의 배합은 동일항 내에서는 1종으로 한다.</t>
    <phoneticPr fontId="3" type="noConversion"/>
  </si>
  <si>
    <t>(4) 용법은 1일 3-4회 복용하는 것으로 하고 복용시기 또는 복용간격을 명기한다</t>
    <phoneticPr fontId="3" type="noConversion"/>
  </si>
  <si>
    <t>공복시를 피하여 복용한다.(1일 1회 복용 시)
복용간격은 6시간 이상 (1일 2회 복용 시)
복용간격은 4시간 이상 (1일 3회 복용 시)</t>
    <phoneticPr fontId="3" type="noConversion"/>
  </si>
  <si>
    <r>
      <t xml:space="preserve">&lt;표2. 연령계수&gt; 
만 </t>
    </r>
    <r>
      <rPr>
        <b/>
        <sz val="11"/>
        <color theme="1"/>
        <rFont val="맑은 고딕"/>
        <family val="3"/>
        <charset val="129"/>
        <scheme val="minor"/>
      </rPr>
      <t xml:space="preserve">15세 </t>
    </r>
    <r>
      <rPr>
        <sz val="10"/>
        <color theme="1"/>
        <rFont val="맑은 고딕"/>
        <family val="3"/>
        <charset val="129"/>
        <scheme val="minor"/>
      </rPr>
      <t>이상</t>
    </r>
    <phoneticPr fontId="3" type="noConversion"/>
  </si>
  <si>
    <r>
      <t xml:space="preserve">&lt;표2. 연령계수&gt; 
만 </t>
    </r>
    <r>
      <rPr>
        <b/>
        <sz val="11"/>
        <color theme="1"/>
        <rFont val="맑은 고딕"/>
        <family val="3"/>
        <charset val="129"/>
        <scheme val="minor"/>
      </rPr>
      <t xml:space="preserve">11세 </t>
    </r>
    <r>
      <rPr>
        <sz val="10"/>
        <color theme="1"/>
        <rFont val="맑은 고딕"/>
        <family val="3"/>
        <charset val="129"/>
        <scheme val="minor"/>
      </rPr>
      <t xml:space="preserve">이상 - </t>
    </r>
    <r>
      <rPr>
        <b/>
        <sz val="11"/>
        <color theme="1"/>
        <rFont val="맑은 고딕"/>
        <family val="3"/>
        <charset val="129"/>
        <scheme val="minor"/>
      </rPr>
      <t>15세</t>
    </r>
    <r>
      <rPr>
        <sz val="10"/>
        <color theme="1"/>
        <rFont val="맑은 고딕"/>
        <family val="3"/>
        <charset val="129"/>
        <scheme val="minor"/>
      </rPr>
      <t xml:space="preserve"> 미만</t>
    </r>
    <phoneticPr fontId="3" type="noConversion"/>
  </si>
  <si>
    <r>
      <t xml:space="preserve">&lt;표2. 연령계수&gt; 
만 </t>
    </r>
    <r>
      <rPr>
        <b/>
        <sz val="11"/>
        <color theme="1"/>
        <rFont val="맑은 고딕"/>
        <family val="3"/>
        <charset val="129"/>
        <scheme val="minor"/>
      </rPr>
      <t xml:space="preserve">8세 </t>
    </r>
    <r>
      <rPr>
        <sz val="10"/>
        <color theme="1"/>
        <rFont val="맑은 고딕"/>
        <family val="3"/>
        <charset val="129"/>
        <scheme val="minor"/>
      </rPr>
      <t xml:space="preserve">이상 - </t>
    </r>
    <r>
      <rPr>
        <b/>
        <sz val="11"/>
        <color theme="1"/>
        <rFont val="맑은 고딕"/>
        <family val="3"/>
        <charset val="129"/>
        <scheme val="minor"/>
      </rPr>
      <t xml:space="preserve">11세 </t>
    </r>
    <r>
      <rPr>
        <sz val="10"/>
        <color theme="1"/>
        <rFont val="맑은 고딕"/>
        <family val="3"/>
        <charset val="129"/>
        <scheme val="minor"/>
      </rPr>
      <t>미만</t>
    </r>
    <phoneticPr fontId="3" type="noConversion"/>
  </si>
  <si>
    <t>l-멘톨</t>
    <phoneticPr fontId="3" type="noConversion"/>
  </si>
  <si>
    <t>-</t>
    <phoneticPr fontId="3" type="noConversion"/>
  </si>
  <si>
    <t>감초</t>
    <phoneticPr fontId="3" type="noConversion"/>
  </si>
  <si>
    <t>길경</t>
    <phoneticPr fontId="3" type="noConversion"/>
  </si>
  <si>
    <t>행인</t>
    <phoneticPr fontId="3" type="noConversion"/>
  </si>
  <si>
    <t>육계</t>
    <phoneticPr fontId="3" type="noConversion"/>
  </si>
  <si>
    <t>반하</t>
    <phoneticPr fontId="3" type="noConversion"/>
  </si>
  <si>
    <t>아선약</t>
    <phoneticPr fontId="3" type="noConversion"/>
  </si>
  <si>
    <t>인삼</t>
    <phoneticPr fontId="3" type="noConversion"/>
  </si>
  <si>
    <t>황금</t>
    <phoneticPr fontId="3" type="noConversion"/>
  </si>
  <si>
    <t>&lt;생약&gt;</t>
  </si>
  <si>
    <t>&lt;생약&gt;</t>
    <phoneticPr fontId="3" type="noConversion"/>
  </si>
  <si>
    <t>1일 최대(g)</t>
    <phoneticPr fontId="3" type="noConversion"/>
  </si>
  <si>
    <t>배합량 하한(g)</t>
    <phoneticPr fontId="3" type="noConversion"/>
  </si>
  <si>
    <t>1일 최소(g)</t>
    <phoneticPr fontId="3" type="noConversion"/>
  </si>
  <si>
    <t>(2) 2) 가, 나란의 유효성분을 2종 이상 배합하는 경우 각각 1일 최대 분량으로 나누어 얻은 수치의 합이 1을 넘으면 안된다.</t>
    <phoneticPr fontId="3" type="noConversion"/>
  </si>
  <si>
    <t>Ⅱ-2</t>
    <phoneticPr fontId="3" type="noConversion"/>
  </si>
  <si>
    <t>벨라돈나(총)알카로이드</t>
    <phoneticPr fontId="3" type="noConversion"/>
  </si>
  <si>
    <r>
      <rPr>
        <b/>
        <sz val="24"/>
        <color theme="1"/>
        <rFont val="맑은 고딕"/>
        <family val="3"/>
        <charset val="129"/>
        <scheme val="minor"/>
      </rPr>
      <t>비염용경구제</t>
    </r>
    <r>
      <rPr>
        <b/>
        <sz val="20"/>
        <color theme="1"/>
        <rFont val="맑은 고딕"/>
        <family val="3"/>
        <charset val="129"/>
        <scheme val="minor"/>
      </rPr>
      <t xml:space="preserve"> 표제기 검토</t>
    </r>
    <phoneticPr fontId="3" type="noConversion"/>
  </si>
  <si>
    <t>적합여부</t>
    <phoneticPr fontId="3" type="noConversion"/>
  </si>
  <si>
    <t>(가) 2) 반드시 배합해야할 유효성분은 &lt;표1&gt;의 Ⅰ란에 기재된 것으로 한다</t>
    <phoneticPr fontId="3" type="noConversion"/>
  </si>
  <si>
    <t>(가) 4) Ⅰ, Ⅲ, Ⅳ, Ⅴ란에 기재된 유효성분을 배합할 경우 동일란내에서 1종에 한한다.</t>
    <phoneticPr fontId="3" type="noConversion"/>
  </si>
  <si>
    <r>
      <t xml:space="preserve">(가) 6) 감초 및 </t>
    </r>
    <r>
      <rPr>
        <sz val="10"/>
        <color theme="1"/>
        <rFont val="조선일보명조"/>
        <family val="1"/>
        <charset val="129"/>
      </rPr>
      <t>Ⅵ</t>
    </r>
    <r>
      <rPr>
        <sz val="10"/>
        <color theme="1"/>
        <rFont val="맑은 고딕"/>
        <family val="3"/>
        <charset val="129"/>
      </rPr>
      <t>란의 생약엑스는 원칙적으로 수성엑스(물또는 30%이하의 묽은 에탄올 엑스)로 한다.</t>
    </r>
    <phoneticPr fontId="3" type="noConversion"/>
  </si>
  <si>
    <t>트리프롤리딘염산염수화물</t>
    <phoneticPr fontId="3" type="noConversion"/>
  </si>
  <si>
    <t>클로르페니라민말레산염</t>
    <phoneticPr fontId="3" type="noConversion"/>
  </si>
  <si>
    <t>d-클로르페니라민말레산염</t>
    <phoneticPr fontId="3" type="noConversion"/>
  </si>
  <si>
    <t>카르비녹사민말레산염</t>
    <phoneticPr fontId="3" type="noConversion"/>
  </si>
  <si>
    <t>페닐레프린염산염</t>
    <phoneticPr fontId="3" type="noConversion"/>
  </si>
  <si>
    <t>dl-메틸에페드린염산염</t>
    <phoneticPr fontId="3" type="noConversion"/>
  </si>
  <si>
    <t>벨라돈나엑스</t>
    <phoneticPr fontId="3" type="noConversion"/>
  </si>
  <si>
    <t>스코폴리아엑스</t>
    <phoneticPr fontId="3" type="noConversion"/>
  </si>
  <si>
    <t>감초(원생약)</t>
    <phoneticPr fontId="3" type="noConversion"/>
  </si>
  <si>
    <t>감초(분말)</t>
    <phoneticPr fontId="3" type="noConversion"/>
  </si>
  <si>
    <t>글리시리진산 및 그 염류
(글리시리진산으로서)</t>
    <phoneticPr fontId="3" type="noConversion"/>
  </si>
  <si>
    <t>(나) 3) Ⅱ란의 성분을 2종이상 배합할 경우 배합할 분량을 각각의 1일 최대 분량으로 나누어 얻은 수치의 합이 2를 초과해서는 안된다.</t>
    <phoneticPr fontId="3" type="noConversion"/>
  </si>
  <si>
    <r>
      <t xml:space="preserve">&lt;표3. 연령계수&gt;
만 </t>
    </r>
    <r>
      <rPr>
        <b/>
        <sz val="11"/>
        <color theme="1"/>
        <rFont val="맑은 고딕"/>
        <family val="3"/>
        <charset val="129"/>
        <scheme val="minor"/>
      </rPr>
      <t xml:space="preserve">15세 </t>
    </r>
    <r>
      <rPr>
        <sz val="10"/>
        <color theme="1"/>
        <rFont val="맑은 고딕"/>
        <family val="3"/>
        <charset val="129"/>
        <scheme val="minor"/>
      </rPr>
      <t>이상</t>
    </r>
    <phoneticPr fontId="3" type="noConversion"/>
  </si>
  <si>
    <t>복용시기 또는 복용간격을 명기한다.
(기재예 표제기 2. (라)에 있으므로 참고해서 기재)</t>
    <phoneticPr fontId="3" type="noConversion"/>
  </si>
  <si>
    <t>가능여부</t>
    <phoneticPr fontId="3" type="noConversion"/>
  </si>
  <si>
    <t>디펜히드라민탄닌산염</t>
    <phoneticPr fontId="3" type="noConversion"/>
  </si>
  <si>
    <t>별도 확인</t>
    <phoneticPr fontId="3" type="noConversion"/>
  </si>
  <si>
    <r>
      <t xml:space="preserve">&lt;표3. 연령계수&gt;
만 </t>
    </r>
    <r>
      <rPr>
        <b/>
        <sz val="12"/>
        <color theme="1"/>
        <rFont val="맑은 고딕"/>
        <family val="3"/>
        <charset val="129"/>
        <scheme val="minor"/>
      </rPr>
      <t>11세</t>
    </r>
    <r>
      <rPr>
        <b/>
        <sz val="11"/>
        <color theme="1"/>
        <rFont val="맑은 고딕"/>
        <family val="3"/>
        <charset val="129"/>
        <scheme val="minor"/>
      </rPr>
      <t xml:space="preserve"> </t>
    </r>
    <r>
      <rPr>
        <sz val="10"/>
        <color theme="1"/>
        <rFont val="맑은 고딕"/>
        <family val="3"/>
        <charset val="129"/>
        <scheme val="minor"/>
      </rPr>
      <t xml:space="preserve">이상 </t>
    </r>
    <r>
      <rPr>
        <b/>
        <sz val="12"/>
        <color theme="1"/>
        <rFont val="맑은 고딕"/>
        <family val="3"/>
        <charset val="129"/>
        <scheme val="minor"/>
      </rPr>
      <t>15세</t>
    </r>
    <r>
      <rPr>
        <sz val="10"/>
        <color theme="1"/>
        <rFont val="맑은 고딕"/>
        <family val="3"/>
        <charset val="129"/>
        <scheme val="minor"/>
      </rPr>
      <t xml:space="preserve"> 미만</t>
    </r>
    <phoneticPr fontId="3" type="noConversion"/>
  </si>
  <si>
    <r>
      <t xml:space="preserve">&lt;표3. 연령계수&gt;
만 </t>
    </r>
    <r>
      <rPr>
        <b/>
        <sz val="12"/>
        <color theme="1"/>
        <rFont val="맑은 고딕"/>
        <family val="3"/>
        <charset val="129"/>
        <scheme val="minor"/>
      </rPr>
      <t>8세</t>
    </r>
    <r>
      <rPr>
        <b/>
        <sz val="11"/>
        <color theme="1"/>
        <rFont val="맑은 고딕"/>
        <family val="3"/>
        <charset val="129"/>
        <scheme val="minor"/>
      </rPr>
      <t xml:space="preserve"> </t>
    </r>
    <r>
      <rPr>
        <sz val="10"/>
        <color theme="1"/>
        <rFont val="맑은 고딕"/>
        <family val="3"/>
        <charset val="129"/>
        <scheme val="minor"/>
      </rPr>
      <t xml:space="preserve">이상 </t>
    </r>
    <r>
      <rPr>
        <b/>
        <sz val="12"/>
        <color theme="1"/>
        <rFont val="맑은 고딕"/>
        <family val="3"/>
        <charset val="129"/>
        <scheme val="minor"/>
      </rPr>
      <t>11세</t>
    </r>
    <r>
      <rPr>
        <sz val="10"/>
        <color theme="1"/>
        <rFont val="맑은 고딕"/>
        <family val="3"/>
        <charset val="129"/>
        <scheme val="minor"/>
      </rPr>
      <t xml:space="preserve"> 미만</t>
    </r>
    <phoneticPr fontId="3" type="noConversion"/>
  </si>
  <si>
    <r>
      <rPr>
        <b/>
        <sz val="11"/>
        <color rgb="FFFF0000"/>
        <rFont val="맑은 고딕"/>
        <family val="3"/>
        <charset val="129"/>
        <scheme val="minor"/>
      </rPr>
      <t>※ 입력시 주의사항</t>
    </r>
    <r>
      <rPr>
        <sz val="10"/>
        <color theme="1"/>
        <rFont val="맑은 고딕"/>
        <family val="2"/>
        <charset val="129"/>
        <scheme val="minor"/>
      </rPr>
      <t xml:space="preserve">
</t>
    </r>
    <r>
      <rPr>
        <sz val="10"/>
        <color theme="1"/>
        <rFont val="맑은 고딕"/>
        <family val="3"/>
        <charset val="129"/>
        <scheme val="minor"/>
      </rPr>
      <t>1.</t>
    </r>
    <r>
      <rPr>
        <b/>
        <sz val="10"/>
        <color theme="1"/>
        <rFont val="맑은 고딕"/>
        <family val="3"/>
        <charset val="129"/>
        <scheme val="minor"/>
      </rPr>
      <t xml:space="preserve"> 파란 음영 표시된 부분만 입력</t>
    </r>
    <r>
      <rPr>
        <b/>
        <u/>
        <sz val="10"/>
        <color rgb="FFFF0000"/>
        <rFont val="맑은 고딕"/>
        <family val="3"/>
        <charset val="129"/>
        <scheme val="minor"/>
      </rPr>
      <t>(</t>
    </r>
    <r>
      <rPr>
        <b/>
        <u/>
        <sz val="12"/>
        <color rgb="FFFF0000"/>
        <rFont val="맑은 고딕"/>
        <family val="3"/>
        <charset val="129"/>
        <scheme val="minor"/>
      </rPr>
      <t>파란색 이외 수정금지)</t>
    </r>
    <r>
      <rPr>
        <sz val="10"/>
        <color theme="1"/>
        <rFont val="맑은 고딕"/>
        <family val="3"/>
        <charset val="129"/>
        <scheme val="minor"/>
      </rPr>
      <t xml:space="preserve">
2. 처방이 없는 경우 비워둔다</t>
    </r>
    <phoneticPr fontId="3" type="noConversion"/>
  </si>
  <si>
    <t>수산화알루미늄겔</t>
    <phoneticPr fontId="3" type="noConversion"/>
  </si>
  <si>
    <t>(1) 3) 배합하지 않으면 안되는 유효성분은 Ⅰ항과 II 항의 1종 이상</t>
    <phoneticPr fontId="3" type="noConversion"/>
  </si>
  <si>
    <t>메퀴타진</t>
    <phoneticPr fontId="3" type="noConversion"/>
  </si>
  <si>
    <t>Ⅶ</t>
    <phoneticPr fontId="3" type="noConversion"/>
  </si>
  <si>
    <t>브롬헥신염산염</t>
    <phoneticPr fontId="3" type="noConversion"/>
  </si>
  <si>
    <t>L-카르보시스테인</t>
    <phoneticPr fontId="3" type="noConversion"/>
  </si>
  <si>
    <t>벨라돈나총알칼로이드</t>
    <phoneticPr fontId="3" type="noConversion"/>
  </si>
  <si>
    <t>Ⅹ</t>
    <phoneticPr fontId="3" type="noConversion"/>
  </si>
  <si>
    <t>ⅩⅣ</t>
    <phoneticPr fontId="3" type="noConversion"/>
  </si>
  <si>
    <t>Ⅵ-1</t>
    <phoneticPr fontId="3" type="noConversion"/>
  </si>
  <si>
    <t>Ⅵ-2</t>
    <phoneticPr fontId="3" type="noConversion"/>
  </si>
  <si>
    <r>
      <rPr>
        <sz val="10"/>
        <color theme="1"/>
        <rFont val="Microsoft YaHei"/>
        <family val="3"/>
        <charset val="134"/>
      </rPr>
      <t>Ⅺ</t>
    </r>
    <phoneticPr fontId="3" type="noConversion"/>
  </si>
  <si>
    <t>ⅩⅢ</t>
    <phoneticPr fontId="3" type="noConversion"/>
  </si>
  <si>
    <t>Ⅰ-1</t>
    <phoneticPr fontId="3" type="noConversion"/>
  </si>
  <si>
    <t>Ⅰ-2</t>
    <phoneticPr fontId="3" type="noConversion"/>
  </si>
  <si>
    <t>슈도에페드린염산염</t>
    <phoneticPr fontId="3" type="noConversion"/>
  </si>
  <si>
    <t>길경(가루)</t>
    <phoneticPr fontId="3" type="noConversion"/>
  </si>
  <si>
    <t>&lt;표2&gt;
Ⅰ항</t>
    <phoneticPr fontId="3" type="noConversion"/>
  </si>
  <si>
    <t>작약가루</t>
    <phoneticPr fontId="3" type="noConversion"/>
  </si>
  <si>
    <t>감초가루</t>
    <phoneticPr fontId="3" type="noConversion"/>
  </si>
  <si>
    <t>작약엑스</t>
    <phoneticPr fontId="3" type="noConversion"/>
  </si>
  <si>
    <t>감초엑스</t>
    <phoneticPr fontId="3" type="noConversion"/>
  </si>
  <si>
    <t>(2) 10) 나란을 2종 이상 배합하는 경우 각각 1일 최대 분량으로 나누어 얻은 수치의 합이 1/2 이상</t>
    <phoneticPr fontId="3" type="noConversion"/>
  </si>
  <si>
    <t>(2) 2) 가란, 나란의 유효성분을 2종 이상 배합하는 경우 각각 1일 최대분량으로 나누어 얻은 수치의 합이 1 이하</t>
    <phoneticPr fontId="3" type="noConversion"/>
  </si>
  <si>
    <t>(가) 5) Ⅱ란에 기재된 유효성분을 배합하는 경우 1항에서는 2종까지, 2항에서는 1종까지로 한다.</t>
    <phoneticPr fontId="3" type="noConversion"/>
  </si>
  <si>
    <t>(가) 5) 1항의 dl-메틸에페드린과 슈도에페드린 배합은 인정되지 않는다.</t>
    <phoneticPr fontId="3" type="noConversion"/>
  </si>
  <si>
    <t>Ⅳ</t>
    <phoneticPr fontId="3" type="noConversion"/>
  </si>
  <si>
    <t>Ⅴ-1</t>
    <phoneticPr fontId="3" type="noConversion"/>
  </si>
  <si>
    <t>Ⅴ-2</t>
    <phoneticPr fontId="3" type="noConversion"/>
  </si>
  <si>
    <t>Ⅵ</t>
    <phoneticPr fontId="3" type="noConversion"/>
  </si>
  <si>
    <t>Ⅶ</t>
    <phoneticPr fontId="3" type="noConversion"/>
  </si>
  <si>
    <t>Ⅷ</t>
    <phoneticPr fontId="3" type="noConversion"/>
  </si>
  <si>
    <t>Ⅸ</t>
    <phoneticPr fontId="3" type="noConversion"/>
  </si>
  <si>
    <t>Ⅹ</t>
    <phoneticPr fontId="3" type="noConversion"/>
  </si>
  <si>
    <r>
      <rPr>
        <sz val="10"/>
        <color theme="1"/>
        <rFont val="NSimSun"/>
        <family val="3"/>
        <charset val="134"/>
      </rPr>
      <t>Ⅻ</t>
    </r>
    <phoneticPr fontId="3" type="noConversion"/>
  </si>
  <si>
    <t>나</t>
    <phoneticPr fontId="3" type="noConversion"/>
  </si>
  <si>
    <r>
      <t xml:space="preserve">(1) 5) </t>
    </r>
    <r>
      <rPr>
        <sz val="10"/>
        <color theme="1"/>
        <rFont val="맑은 고딕"/>
        <family val="3"/>
        <charset val="129"/>
      </rPr>
      <t xml:space="preserve">Ⅲ항, Ⅳ항, Ⅴ-1항, Ⅵ항, Ⅶ항, </t>
    </r>
    <r>
      <rPr>
        <sz val="10"/>
        <color theme="1"/>
        <rFont val="맑은 고딕"/>
        <family val="3"/>
        <charset val="134"/>
      </rPr>
      <t>Ⅺ</t>
    </r>
    <r>
      <rPr>
        <sz val="10"/>
        <color theme="1"/>
        <rFont val="맑은 고딕"/>
        <family val="3"/>
        <charset val="129"/>
      </rPr>
      <t xml:space="preserve">항, </t>
    </r>
    <r>
      <rPr>
        <sz val="10"/>
        <color theme="1"/>
        <rFont val="맑은 고딕"/>
        <family val="3"/>
        <charset val="134"/>
      </rPr>
      <t>Ⅻ</t>
    </r>
    <r>
      <rPr>
        <sz val="10"/>
        <color theme="1"/>
        <rFont val="맑은 고딕"/>
        <family val="3"/>
        <charset val="129"/>
      </rPr>
      <t>항 또는 라란의 한약처방을 배합하는 경우 각 항의 각 1종으로 한다.</t>
    </r>
    <phoneticPr fontId="3" type="noConversion"/>
  </si>
  <si>
    <t>(1) 10) Ⅱ항 이부프로펜은 I항, Ⅸ항, 가란 또는 다란 중 지룡, 라란의 한약처방의 성분과 동시에 배합하지 않는다.</t>
    <phoneticPr fontId="3" type="noConversion"/>
  </si>
  <si>
    <r>
      <t xml:space="preserve">(1) 11) Ⅷ항의 성분은 </t>
    </r>
    <r>
      <rPr>
        <sz val="10"/>
        <color theme="1"/>
        <rFont val="NSimSun"/>
        <family val="3"/>
        <charset val="134"/>
      </rPr>
      <t>Ⅹ</t>
    </r>
    <r>
      <rPr>
        <sz val="10"/>
        <color theme="1"/>
        <rFont val="맑은 고딕"/>
        <family val="3"/>
        <charset val="129"/>
        <scheme val="minor"/>
      </rPr>
      <t>항, 가란 또는 라란의 한약처방과 동시에 배합할 수 없다.</t>
    </r>
    <phoneticPr fontId="3" type="noConversion"/>
  </si>
  <si>
    <r>
      <t xml:space="preserve">(1) 12) Ⅸ항의 성분은 Ⅱ항의 성분, </t>
    </r>
    <r>
      <rPr>
        <sz val="10"/>
        <color theme="1"/>
        <rFont val="NSimSun"/>
        <family val="3"/>
        <charset val="134"/>
      </rPr>
      <t>Ⅹ</t>
    </r>
    <r>
      <rPr>
        <sz val="10"/>
        <color theme="1"/>
        <rFont val="맑은 고딕"/>
        <family val="3"/>
        <charset val="129"/>
        <scheme val="minor"/>
      </rPr>
      <t>항의 성분, 가란 성분 또는 라란의 한약처방과 동시에 배합할 수 없다.</t>
    </r>
    <phoneticPr fontId="3" type="noConversion"/>
  </si>
  <si>
    <r>
      <t xml:space="preserve">(2) 1) Ⅴ-1항의 성분에 </t>
    </r>
    <r>
      <rPr>
        <sz val="10"/>
        <color theme="1"/>
        <rFont val="맑은 고딕"/>
        <family val="3"/>
        <charset val="134"/>
        <scheme val="minor"/>
      </rPr>
      <t>Ⅻ</t>
    </r>
    <r>
      <rPr>
        <sz val="10"/>
        <color theme="1"/>
        <rFont val="맑은 고딕"/>
        <family val="2"/>
        <charset val="129"/>
        <scheme val="minor"/>
      </rPr>
      <t>항의 성분을 동시 처방 시 각각을 1일 최대분량으로 나눈 수치의 합이 3/2 이하</t>
    </r>
    <phoneticPr fontId="3" type="noConversion"/>
  </si>
  <si>
    <r>
      <t>(2) 2) Ⅰ항의 유효성분을 2종 이상 배합하는 경우</t>
    </r>
    <r>
      <rPr>
        <sz val="10"/>
        <color theme="1"/>
        <rFont val="맑은 고딕"/>
        <family val="2"/>
        <charset val="129"/>
        <scheme val="minor"/>
      </rPr>
      <t xml:space="preserve"> 각각 1일 최대분량으로 나누어 얻은 수치의 합이 1 이하</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</si>
</sst>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_);[Red]\(0\)"/>
    <numFmt numFmtId="177" formatCode="0.00_);[Red]\(0.00\)"/>
    <numFmt numFmtId="178" formatCode="0.0"/>
    <numFmt numFmtId="179" formatCode="0.00000000000000000"/>
    <numFmt numFmtId="180" formatCode="0.00_ "/>
    <numFmt numFmtId="181" formatCode="0.0_);[Red]\(0.0\)"/>
  </numFmts>
  <fonts count="45" x14ac:knownFonts="1">
    <font>
      <sz val="11"/>
      <color theme="1"/>
      <name val="맑은 고딕"/>
      <family val="2"/>
      <charset val="129"/>
      <scheme val="minor"/>
    </font>
    <font>
      <sz val="10"/>
      <color theme="1"/>
      <name val="맑은 고딕"/>
      <family val="2"/>
      <charset val="129"/>
      <scheme val="minor"/>
    </font>
    <font>
      <sz val="11"/>
      <color rgb="FFFF0000"/>
      <name val="맑은 고딕"/>
      <family val="2"/>
      <charset val="129"/>
      <scheme val="minor"/>
    </font>
    <font>
      <sz val="8"/>
      <name val="맑은 고딕"/>
      <family val="2"/>
      <charset val="129"/>
      <scheme val="minor"/>
    </font>
    <font>
      <sz val="11"/>
      <color theme="1"/>
      <name val="맑은 고딕"/>
      <family val="3"/>
      <charset val="129"/>
    </font>
    <font>
      <sz val="16"/>
      <color theme="1"/>
      <name val="맑은 고딕"/>
      <family val="2"/>
      <charset val="129"/>
      <scheme val="minor"/>
    </font>
    <font>
      <b/>
      <sz val="20"/>
      <color theme="1"/>
      <name val="맑은 고딕"/>
      <family val="3"/>
      <charset val="129"/>
      <scheme val="minor"/>
    </font>
    <font>
      <sz val="11"/>
      <color theme="5"/>
      <name val="맑은 고딕"/>
      <family val="2"/>
      <charset val="129"/>
      <scheme val="minor"/>
    </font>
    <font>
      <sz val="11"/>
      <color theme="5"/>
      <name val="맑은 고딕"/>
      <family val="3"/>
      <charset val="129"/>
      <scheme val="minor"/>
    </font>
    <font>
      <b/>
      <sz val="11"/>
      <color theme="1"/>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sz val="10"/>
      <color theme="1"/>
      <name val="맑은 고딕"/>
      <family val="2"/>
      <charset val="129"/>
      <scheme val="minor"/>
    </font>
    <font>
      <b/>
      <sz val="11"/>
      <color rgb="FFFF0000"/>
      <name val="맑은 고딕"/>
      <family val="3"/>
      <charset val="129"/>
      <scheme val="minor"/>
    </font>
    <font>
      <sz val="11"/>
      <color rgb="FFFF0000"/>
      <name val="맑은 고딕"/>
      <family val="3"/>
      <charset val="129"/>
      <scheme val="minor"/>
    </font>
    <font>
      <sz val="11"/>
      <color theme="1"/>
      <name val="맑은 고딕"/>
      <family val="3"/>
      <charset val="129"/>
      <scheme val="minor"/>
    </font>
    <font>
      <sz val="10"/>
      <color theme="1"/>
      <name val="맑은 고딕"/>
      <family val="3"/>
      <charset val="129"/>
      <scheme val="minor"/>
    </font>
    <font>
      <sz val="10"/>
      <color rgb="FFFF0000"/>
      <name val="맑은 고딕"/>
      <family val="3"/>
      <charset val="129"/>
      <scheme val="minor"/>
    </font>
    <font>
      <sz val="10"/>
      <color theme="1"/>
      <name val="맑은 고딕"/>
      <family val="3"/>
      <charset val="129"/>
    </font>
    <font>
      <sz val="12"/>
      <color theme="1"/>
      <name val="맑은 고딕"/>
      <family val="2"/>
      <charset val="129"/>
      <scheme val="minor"/>
    </font>
    <font>
      <sz val="12"/>
      <color theme="1"/>
      <name val="맑은 고딕"/>
      <family val="3"/>
      <charset val="129"/>
      <scheme val="minor"/>
    </font>
    <font>
      <sz val="12"/>
      <color rgb="FFFF0000"/>
      <name val="맑은 고딕"/>
      <family val="3"/>
      <charset val="129"/>
      <scheme val="minor"/>
    </font>
    <font>
      <sz val="10"/>
      <color theme="5"/>
      <name val="맑은 고딕"/>
      <family val="3"/>
      <charset val="129"/>
      <scheme val="minor"/>
    </font>
    <font>
      <sz val="10"/>
      <color rgb="FFFF0000"/>
      <name val="맑은 고딕"/>
      <family val="2"/>
      <charset val="129"/>
      <scheme val="minor"/>
    </font>
    <font>
      <b/>
      <sz val="10"/>
      <color theme="0"/>
      <name val="맑은 고딕"/>
      <family val="3"/>
      <charset val="129"/>
      <scheme val="minor"/>
    </font>
    <font>
      <b/>
      <sz val="12"/>
      <color theme="0"/>
      <name val="맑은 고딕"/>
      <family val="3"/>
      <charset val="129"/>
      <scheme val="minor"/>
    </font>
    <font>
      <b/>
      <sz val="28"/>
      <color theme="1"/>
      <name val="맑은 고딕"/>
      <family val="3"/>
      <charset val="129"/>
      <scheme val="minor"/>
    </font>
    <font>
      <b/>
      <sz val="24"/>
      <color theme="1"/>
      <name val="맑은 고딕"/>
      <family val="3"/>
      <charset val="129"/>
      <scheme val="minor"/>
    </font>
    <font>
      <b/>
      <sz val="10"/>
      <color theme="1"/>
      <name val="맑은 고딕"/>
      <family val="3"/>
      <charset val="129"/>
      <scheme val="minor"/>
    </font>
    <font>
      <sz val="11"/>
      <color theme="0"/>
      <name val="맑은 고딕"/>
      <family val="2"/>
      <charset val="129"/>
      <scheme val="minor"/>
    </font>
    <font>
      <b/>
      <sz val="11"/>
      <color theme="0"/>
      <name val="맑은 고딕"/>
      <family val="3"/>
      <charset val="129"/>
      <scheme val="minor"/>
    </font>
    <font>
      <sz val="10"/>
      <color theme="0"/>
      <name val="맑은 고딕"/>
      <family val="3"/>
      <charset val="129"/>
      <scheme val="minor"/>
    </font>
    <font>
      <u/>
      <sz val="9"/>
      <color indexed="81"/>
      <name val="돋움"/>
      <family val="3"/>
      <charset val="129"/>
    </font>
    <font>
      <u/>
      <sz val="9"/>
      <color indexed="81"/>
      <name val="Tahoma"/>
      <family val="2"/>
    </font>
    <font>
      <b/>
      <sz val="12"/>
      <color theme="1"/>
      <name val="맑은 고딕"/>
      <family val="3"/>
      <charset val="129"/>
      <scheme val="minor"/>
    </font>
    <font>
      <sz val="10"/>
      <color theme="1"/>
      <name val="조선일보명조"/>
      <family val="1"/>
      <charset val="129"/>
    </font>
    <font>
      <b/>
      <u/>
      <sz val="10"/>
      <color rgb="FFFF0000"/>
      <name val="맑은 고딕"/>
      <family val="3"/>
      <charset val="129"/>
      <scheme val="minor"/>
    </font>
    <font>
      <b/>
      <u/>
      <sz val="12"/>
      <color rgb="FFFF0000"/>
      <name val="맑은 고딕"/>
      <family val="3"/>
      <charset val="129"/>
      <scheme val="minor"/>
    </font>
    <font>
      <sz val="11"/>
      <color theme="1"/>
      <name val="MS Mincho"/>
      <family val="3"/>
      <charset val="128"/>
    </font>
    <font>
      <sz val="10"/>
      <color theme="1"/>
      <name val="Microsoft YaHei"/>
      <family val="3"/>
      <charset val="134"/>
    </font>
    <font>
      <sz val="10"/>
      <color theme="1"/>
      <name val="NSimSun"/>
      <family val="3"/>
      <charset val="134"/>
    </font>
    <font>
      <sz val="10"/>
      <color theme="1"/>
      <name val="맑은 고딕"/>
      <family val="3"/>
      <charset val="134"/>
      <scheme val="minor"/>
    </font>
    <font>
      <sz val="10"/>
      <color theme="1"/>
      <name val="맑은 고딕"/>
      <family val="3"/>
      <charset val="134"/>
    </font>
  </fonts>
  <fills count="14">
    <fill>
      <patternFill patternType="none"/>
    </fill>
    <fill>
      <patternFill patternType="gray125"/>
    </fill>
    <fill>
      <patternFill patternType="solid">
        <fgColor theme="8" tint="0.79998168889431442"/>
        <bgColor indexed="64"/>
      </patternFill>
    </fill>
    <fill>
      <patternFill patternType="solid">
        <fgColor them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5F54D"/>
        <bgColor indexed="64"/>
      </patternFill>
    </fill>
    <fill>
      <patternFill patternType="solid">
        <fgColor theme="6" tint="0.39997558519241921"/>
        <bgColor indexed="64"/>
      </patternFill>
    </fill>
  </fills>
  <borders count="7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bottom/>
      <diagonal/>
    </border>
    <border>
      <left style="medium">
        <color rgb="FF0000FF"/>
      </left>
      <right/>
      <top style="medium">
        <color rgb="FF0000FF"/>
      </top>
      <bottom style="medium">
        <color rgb="FF0000FF"/>
      </bottom>
      <diagonal/>
    </border>
    <border>
      <left/>
      <right/>
      <top style="medium">
        <color rgb="FF0000FF"/>
      </top>
      <bottom style="medium">
        <color rgb="FF0000FF"/>
      </bottom>
      <diagonal/>
    </border>
    <border>
      <left/>
      <right style="medium">
        <color rgb="FF0000FF"/>
      </right>
      <top style="medium">
        <color rgb="FF0000FF"/>
      </top>
      <bottom style="medium">
        <color rgb="FF0000FF"/>
      </bottom>
      <diagonal/>
    </border>
    <border>
      <left/>
      <right/>
      <top style="thick">
        <color theme="1" tint="0.499984740745262"/>
      </top>
      <bottom/>
      <diagonal/>
    </border>
    <border>
      <left/>
      <right style="thick">
        <color theme="1" tint="0.499984740745262"/>
      </right>
      <top style="thick">
        <color theme="1" tint="0.499984740745262"/>
      </top>
      <bottom/>
      <diagonal/>
    </border>
    <border>
      <left/>
      <right style="thick">
        <color theme="1" tint="0.499984740745262"/>
      </right>
      <top/>
      <bottom/>
      <diagonal/>
    </border>
    <border>
      <left style="thick">
        <color theme="1" tint="0.499984740745262"/>
      </left>
      <right style="thin">
        <color theme="1" tint="0.499984740745262"/>
      </right>
      <top style="thick">
        <color theme="1" tint="0.499984740745262"/>
      </top>
      <bottom/>
      <diagonal/>
    </border>
    <border>
      <left style="thick">
        <color theme="1" tint="0.499984740745262"/>
      </left>
      <right style="thin">
        <color theme="1" tint="0.499984740745262"/>
      </right>
      <top/>
      <bottom/>
      <diagonal/>
    </border>
    <border>
      <left style="thick">
        <color theme="1" tint="0.499984740745262"/>
      </left>
      <right style="thin">
        <color theme="1" tint="0.499984740745262"/>
      </right>
      <top/>
      <bottom style="thick">
        <color theme="1"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style="thin">
        <color theme="0" tint="-0.499984740745262"/>
      </left>
      <right style="thin">
        <color theme="0" tint="-0.499984740745262"/>
      </right>
      <top style="thin">
        <color theme="0" tint="-0.499984740745262"/>
      </top>
      <bottom style="thin">
        <color theme="0" tint="-0.499984740745262"/>
      </bottom>
      <diagonal style="thin">
        <color auto="1"/>
      </diagonal>
    </border>
    <border>
      <left style="thin">
        <color theme="0" tint="-0.499984740745262"/>
      </left>
      <right/>
      <top style="thin">
        <color theme="0" tint="-0.499984740745262"/>
      </top>
      <bottom style="thin">
        <color theme="0" tint="-0.499984740745262"/>
      </bottom>
      <diagonal/>
    </border>
    <border>
      <left style="thick">
        <color rgb="FFFF0000"/>
      </left>
      <right style="thick">
        <color rgb="FFFF0000"/>
      </right>
      <top style="thick">
        <color rgb="FFFF0000"/>
      </top>
      <bottom style="thin">
        <color theme="0" tint="-0.499984740745262"/>
      </bottom>
      <diagonal/>
    </border>
    <border>
      <left style="thick">
        <color rgb="FFFF0000"/>
      </left>
      <right style="thick">
        <color rgb="FFFF0000"/>
      </right>
      <top style="thin">
        <color theme="0" tint="-0.499984740745262"/>
      </top>
      <bottom style="thin">
        <color theme="0" tint="-0.499984740745262"/>
      </bottom>
      <diagonal/>
    </border>
    <border>
      <left style="thick">
        <color rgb="FFFF0000"/>
      </left>
      <right style="thick">
        <color rgb="FFFF0000"/>
      </right>
      <top style="thin">
        <color theme="0" tint="-0.499984740745262"/>
      </top>
      <bottom style="thick">
        <color rgb="FFFF0000"/>
      </bottom>
      <diagonal/>
    </border>
    <border>
      <left/>
      <right/>
      <top/>
      <bottom style="thin">
        <color theme="0" tint="-0.499984740745262"/>
      </bottom>
      <diagonal/>
    </border>
    <border>
      <left/>
      <right style="hair">
        <color auto="1"/>
      </right>
      <top style="thin">
        <color theme="0" tint="-0.499984740745262"/>
      </top>
      <bottom style="thin">
        <color theme="0" tint="-0.499984740745262"/>
      </bottom>
      <diagonal/>
    </border>
    <border>
      <left style="hair">
        <color auto="1"/>
      </left>
      <right style="hair">
        <color auto="1"/>
      </right>
      <top style="thin">
        <color theme="0" tint="-0.499984740745262"/>
      </top>
      <bottom style="thin">
        <color theme="0" tint="-0.499984740745262"/>
      </bottom>
      <diagonal/>
    </border>
    <border>
      <left style="hair">
        <color auto="1"/>
      </left>
      <right style="thick">
        <color rgb="FFFF0000"/>
      </right>
      <top style="thin">
        <color theme="0" tint="-0.499984740745262"/>
      </top>
      <bottom style="thin">
        <color theme="0" tint="-0.499984740745262"/>
      </bottom>
      <diagonal/>
    </border>
    <border>
      <left/>
      <right style="hair">
        <color auto="1"/>
      </right>
      <top/>
      <bottom style="thin">
        <color theme="0" tint="-0.499984740745262"/>
      </bottom>
      <diagonal/>
    </border>
    <border>
      <left style="hair">
        <color auto="1"/>
      </left>
      <right style="hair">
        <color auto="1"/>
      </right>
      <top/>
      <bottom style="thin">
        <color theme="0" tint="-0.499984740745262"/>
      </bottom>
      <diagonal/>
    </border>
    <border>
      <left style="hair">
        <color auto="1"/>
      </left>
      <right style="thick">
        <color rgb="FFFF0000"/>
      </right>
      <top/>
      <bottom style="thin">
        <color theme="0" tint="-0.499984740745262"/>
      </bottom>
      <diagonal/>
    </border>
    <border>
      <left style="thick">
        <color rgb="FFFF0000"/>
      </left>
      <right style="thick">
        <color rgb="FFFF0000"/>
      </right>
      <top/>
      <bottom style="thin">
        <color theme="0" tint="-0.499984740745262"/>
      </bottom>
      <diagonal/>
    </border>
    <border>
      <left/>
      <right/>
      <top style="thin">
        <color auto="1"/>
      </top>
      <bottom style="thin">
        <color theme="0" tint="-0.499984740745262"/>
      </bottom>
      <diagonal/>
    </border>
    <border>
      <left/>
      <right/>
      <top style="thick">
        <color theme="0" tint="-0.499984740745262"/>
      </top>
      <bottom/>
      <diagonal/>
    </border>
    <border>
      <left/>
      <right style="thick">
        <color theme="0" tint="-0.499984740745262"/>
      </right>
      <top style="thick">
        <color theme="0" tint="-0.499984740745262"/>
      </top>
      <bottom/>
      <diagonal/>
    </border>
    <border>
      <left/>
      <right/>
      <top/>
      <bottom style="thick">
        <color theme="0" tint="-0.499984740745262"/>
      </bottom>
      <diagonal/>
    </border>
    <border>
      <left/>
      <right style="thick">
        <color theme="0" tint="-0.499984740745262"/>
      </right>
      <top/>
      <bottom style="thick">
        <color theme="0" tint="-0.499984740745262"/>
      </bottom>
      <diagonal/>
    </border>
    <border>
      <left style="thick">
        <color theme="0" tint="-0.499984740745262"/>
      </left>
      <right style="thin">
        <color theme="0" tint="-0.499984740745262"/>
      </right>
      <top style="thick">
        <color theme="0" tint="-0.499984740745262"/>
      </top>
      <bottom/>
      <diagonal/>
    </border>
    <border>
      <left style="thick">
        <color theme="0" tint="-0.499984740745262"/>
      </left>
      <right style="thin">
        <color theme="0" tint="-0.499984740745262"/>
      </right>
      <top/>
      <bottom style="thick">
        <color theme="0" tint="-0.499984740745262"/>
      </bottom>
      <diagonal/>
    </border>
    <border>
      <left/>
      <right style="thick">
        <color theme="0" tint="-0.499984740745262"/>
      </right>
      <top/>
      <bottom/>
      <diagonal/>
    </border>
    <border>
      <left/>
      <right style="thick">
        <color rgb="FFFF0000"/>
      </right>
      <top/>
      <bottom style="thin">
        <color theme="1" tint="0.499984740745262"/>
      </bottom>
      <diagonal/>
    </border>
    <border>
      <left/>
      <right/>
      <top/>
      <bottom style="thin">
        <color theme="1" tint="0.499984740745262"/>
      </bottom>
      <diagonal/>
    </border>
    <border>
      <left/>
      <right/>
      <top style="thin">
        <color theme="1" tint="0.499984740745262"/>
      </top>
      <bottom style="thin">
        <color theme="1" tint="0.499984740745262"/>
      </bottom>
      <diagonal/>
    </border>
    <border>
      <left/>
      <right style="thick">
        <color rgb="FFFF0000"/>
      </right>
      <top style="thin">
        <color theme="1" tint="0.499984740745262"/>
      </top>
      <bottom style="thin">
        <color theme="1"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1" tint="0.499984740745262"/>
      </left>
      <right/>
      <top style="thin">
        <color theme="1" tint="0.499984740745262"/>
      </top>
      <bottom style="thick">
        <color theme="1" tint="0.499984740745262"/>
      </bottom>
      <diagonal/>
    </border>
    <border>
      <left/>
      <right/>
      <top style="thin">
        <color theme="1" tint="0.499984740745262"/>
      </top>
      <bottom style="thick">
        <color theme="1" tint="0.499984740745262"/>
      </bottom>
      <diagonal/>
    </border>
    <border>
      <left/>
      <right style="thick">
        <color theme="1" tint="0.499984740745262"/>
      </right>
      <top style="thin">
        <color theme="1" tint="0.499984740745262"/>
      </top>
      <bottom style="thick">
        <color theme="1"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right style="thick">
        <color rgb="FFFF0000"/>
      </right>
      <top style="thin">
        <color theme="0" tint="-0.499984740745262"/>
      </top>
      <bottom style="thin">
        <color theme="0" tint="-0.499984740745262"/>
      </bottom>
      <diagonal/>
    </border>
    <border>
      <left style="thick">
        <color rgb="FFFF0000"/>
      </left>
      <right style="thick">
        <color rgb="FFFF0000"/>
      </right>
      <top style="thick">
        <color rgb="FFFF0000"/>
      </top>
      <bottom/>
      <diagonal/>
    </border>
    <border>
      <left style="thick">
        <color theme="0" tint="-0.499984740745262"/>
      </left>
      <right style="thin">
        <color theme="0" tint="-0.499984740745262"/>
      </right>
      <top/>
      <bottom/>
      <diagonal/>
    </border>
    <border>
      <left style="thin">
        <color theme="0" tint="-0.499984740745262"/>
      </left>
      <right/>
      <top style="thin">
        <color theme="0" tint="-0.499984740745262"/>
      </top>
      <bottom style="thick">
        <color theme="0" tint="-0.499984740745262"/>
      </bottom>
      <diagonal/>
    </border>
    <border>
      <left/>
      <right/>
      <top style="thin">
        <color theme="0" tint="-0.499984740745262"/>
      </top>
      <bottom style="thick">
        <color theme="0" tint="-0.499984740745262"/>
      </bottom>
      <diagonal/>
    </border>
    <border>
      <left/>
      <right style="thick">
        <color theme="0" tint="-0.499984740745262"/>
      </right>
      <top style="thin">
        <color theme="0" tint="-0.499984740745262"/>
      </top>
      <bottom style="thick">
        <color theme="0" tint="-0.499984740745262"/>
      </bottom>
      <diagonal/>
    </border>
    <border diagonalUp="1">
      <left style="thin">
        <color theme="0" tint="-0.499984740745262"/>
      </left>
      <right style="thin">
        <color theme="0" tint="-0.499984740745262"/>
      </right>
      <top style="thin">
        <color theme="0" tint="-0.499984740745262"/>
      </top>
      <bottom/>
      <diagonal style="thin">
        <color theme="0" tint="-0.499984740745262"/>
      </diagonal>
    </border>
    <border diagonalUp="1">
      <left style="thin">
        <color theme="0" tint="-0.499984740745262"/>
      </left>
      <right style="thin">
        <color theme="0" tint="-0.499984740745262"/>
      </right>
      <top/>
      <bottom/>
      <diagonal style="thin">
        <color theme="0" tint="-0.499984740745262"/>
      </diagonal>
    </border>
    <border diagonalUp="1">
      <left style="thin">
        <color theme="0" tint="-0.499984740745262"/>
      </left>
      <right style="thin">
        <color theme="0" tint="-0.499984740745262"/>
      </right>
      <top/>
      <bottom style="thin">
        <color theme="0" tint="-0.499984740745262"/>
      </bottom>
      <diagonal style="thin">
        <color theme="0" tint="-0.499984740745262"/>
      </diagonal>
    </border>
    <border>
      <left/>
      <right/>
      <top style="thin">
        <color theme="0" tint="-0.499984740745262"/>
      </top>
      <bottom/>
      <diagonal/>
    </border>
    <border>
      <left/>
      <right/>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theme="0" tint="-0.499984740745262"/>
      </right>
      <top style="thin">
        <color theme="0" tint="-0.499984740745262"/>
      </top>
      <bottom/>
      <diagonal/>
    </border>
    <border>
      <left style="thin">
        <color indexed="64"/>
      </left>
      <right style="thin">
        <color theme="0" tint="-0.499984740745262"/>
      </right>
      <top/>
      <bottom/>
      <diagonal/>
    </border>
    <border>
      <left style="thin">
        <color indexed="64"/>
      </left>
      <right style="thin">
        <color theme="0" tint="-0.499984740745262"/>
      </right>
      <top/>
      <bottom style="thin">
        <color indexed="64"/>
      </bottom>
      <diagonal/>
    </border>
    <border>
      <left style="thin">
        <color indexed="64"/>
      </left>
      <right style="thin">
        <color theme="0" tint="-0.499984740745262"/>
      </right>
      <top style="thin">
        <color indexed="64"/>
      </top>
      <bottom/>
      <diagonal/>
    </border>
    <border>
      <left style="thick">
        <color rgb="FFFF0000"/>
      </left>
      <right style="thick">
        <color rgb="FFFF0000"/>
      </right>
      <top style="thin">
        <color theme="0" tint="-0.499984740745262"/>
      </top>
      <bottom style="thin">
        <color theme="1" tint="0.499984740745262"/>
      </bottom>
      <diagonal/>
    </border>
    <border>
      <left style="thick">
        <color rgb="FFFF0000"/>
      </left>
      <right style="thick">
        <color rgb="FFFF0000"/>
      </right>
      <top/>
      <bottom style="thick">
        <color rgb="FFFF0000"/>
      </bottom>
      <diagonal/>
    </border>
  </borders>
  <cellStyleXfs count="1">
    <xf numFmtId="0" fontId="0" fillId="0" borderId="0">
      <alignment vertical="center"/>
    </xf>
  </cellStyleXfs>
  <cellXfs count="245">
    <xf numFmtId="0" fontId="0" fillId="0" borderId="0" xfId="0">
      <alignment vertical="center"/>
    </xf>
    <xf numFmtId="0" fontId="0" fillId="0" borderId="1" xfId="0" applyBorder="1">
      <alignment vertical="center"/>
    </xf>
    <xf numFmtId="0" fontId="0" fillId="0" borderId="1" xfId="0" applyBorder="1" applyAlignment="1">
      <alignment horizontal="center" vertical="center"/>
    </xf>
    <xf numFmtId="0" fontId="0" fillId="2" borderId="1" xfId="0" applyFill="1" applyBorder="1">
      <alignment vertical="center"/>
    </xf>
    <xf numFmtId="0" fontId="0" fillId="0" borderId="3" xfId="0" applyBorder="1">
      <alignment vertical="center"/>
    </xf>
    <xf numFmtId="0" fontId="0" fillId="2" borderId="3" xfId="0" applyFill="1" applyBorder="1">
      <alignment vertical="center"/>
    </xf>
    <xf numFmtId="0" fontId="0" fillId="0" borderId="3" xfId="0" applyBorder="1" applyAlignment="1">
      <alignment horizontal="center" vertical="center"/>
    </xf>
    <xf numFmtId="0" fontId="0" fillId="0" borderId="2" xfId="0" applyBorder="1">
      <alignment vertical="center"/>
    </xf>
    <xf numFmtId="0" fontId="0" fillId="0" borderId="2" xfId="0" applyBorder="1" applyAlignment="1">
      <alignment horizontal="center" vertical="center" wrapText="1"/>
    </xf>
    <xf numFmtId="0" fontId="0" fillId="0" borderId="2" xfId="0" applyBorder="1" applyAlignment="1">
      <alignment horizontal="center" vertical="center"/>
    </xf>
    <xf numFmtId="12" fontId="0" fillId="0" borderId="0" xfId="0" applyNumberFormat="1" applyAlignment="1">
      <alignment horizontal="center" vertical="center"/>
    </xf>
    <xf numFmtId="12" fontId="0" fillId="0" borderId="0" xfId="0" quotePrefix="1" applyNumberFormat="1" applyAlignment="1">
      <alignment horizontal="center" vertical="center"/>
    </xf>
    <xf numFmtId="176" fontId="0" fillId="0" borderId="0" xfId="0" quotePrefix="1" applyNumberFormat="1" applyAlignment="1">
      <alignment horizontal="center" vertical="center"/>
    </xf>
    <xf numFmtId="0" fontId="0" fillId="0" borderId="4" xfId="0" applyBorder="1" applyAlignment="1">
      <alignment horizontal="center" vertical="center"/>
    </xf>
    <xf numFmtId="0" fontId="2" fillId="3" borderId="0" xfId="0" applyFont="1" applyFill="1">
      <alignment vertical="center"/>
    </xf>
    <xf numFmtId="0" fontId="2" fillId="3" borderId="4" xfId="0" applyFont="1" applyFill="1" applyBorder="1" applyAlignment="1">
      <alignment horizontal="center" vertical="center"/>
    </xf>
    <xf numFmtId="0" fontId="0" fillId="4" borderId="0" xfId="0" applyFill="1">
      <alignment vertical="center"/>
    </xf>
    <xf numFmtId="12" fontId="0" fillId="4" borderId="0" xfId="0" quotePrefix="1" applyNumberFormat="1" applyFill="1" applyAlignment="1">
      <alignment horizontal="center" vertical="center"/>
    </xf>
    <xf numFmtId="0" fontId="5" fillId="0" borderId="0" xfId="0" applyFont="1">
      <alignment vertical="center"/>
    </xf>
    <xf numFmtId="177" fontId="0" fillId="0" borderId="3" xfId="0" applyNumberFormat="1" applyBorder="1">
      <alignment vertical="center"/>
    </xf>
    <xf numFmtId="177" fontId="0" fillId="0" borderId="1" xfId="0" applyNumberFormat="1" applyBorder="1">
      <alignment vertical="center"/>
    </xf>
    <xf numFmtId="2" fontId="0" fillId="0" borderId="3" xfId="0" applyNumberFormat="1" applyBorder="1">
      <alignment vertical="center"/>
    </xf>
    <xf numFmtId="2" fontId="0" fillId="0" borderId="1" xfId="0" applyNumberFormat="1" applyBorder="1">
      <alignment vertical="center"/>
    </xf>
    <xf numFmtId="0" fontId="0" fillId="0" borderId="0" xfId="0" applyAlignment="1">
      <alignment horizontal="center" vertical="center"/>
    </xf>
    <xf numFmtId="0" fontId="0" fillId="0" borderId="0" xfId="0" applyAlignment="1">
      <alignment horizontal="right" vertical="center"/>
    </xf>
    <xf numFmtId="0" fontId="0" fillId="0" borderId="6" xfId="0" applyBorder="1" applyAlignment="1">
      <alignment horizontal="right" vertical="center"/>
    </xf>
    <xf numFmtId="0" fontId="0" fillId="0" borderId="6" xfId="0" applyBorder="1">
      <alignment vertical="center"/>
    </xf>
    <xf numFmtId="0" fontId="0" fillId="2" borderId="6" xfId="0" applyFill="1" applyBorder="1">
      <alignment vertical="center"/>
    </xf>
    <xf numFmtId="0" fontId="0" fillId="0" borderId="7" xfId="0" applyBorder="1">
      <alignment vertical="center"/>
    </xf>
    <xf numFmtId="0" fontId="0" fillId="2" borderId="0" xfId="0" applyFill="1">
      <alignment vertical="center"/>
    </xf>
    <xf numFmtId="0" fontId="0" fillId="2" borderId="0" xfId="0" applyFill="1" applyAlignment="1">
      <alignment horizontal="right" vertical="center"/>
    </xf>
    <xf numFmtId="0" fontId="6" fillId="0" borderId="0" xfId="0" applyFont="1">
      <alignment vertical="center"/>
    </xf>
    <xf numFmtId="0" fontId="8" fillId="0" borderId="0" xfId="0" applyFont="1" applyAlignment="1">
      <alignment horizontal="center" vertical="center"/>
    </xf>
    <xf numFmtId="0" fontId="8" fillId="0" borderId="0" xfId="0" quotePrefix="1" applyFont="1" applyAlignment="1">
      <alignment horizontal="center" vertical="center"/>
    </xf>
    <xf numFmtId="0" fontId="18" fillId="0" borderId="0" xfId="0" applyFont="1" applyAlignment="1">
      <alignment horizontal="center" vertical="center"/>
    </xf>
    <xf numFmtId="0" fontId="19" fillId="3" borderId="4" xfId="0" applyFont="1" applyFill="1" applyBorder="1" applyAlignment="1">
      <alignment horizontal="center" vertical="center"/>
    </xf>
    <xf numFmtId="0" fontId="18" fillId="0" borderId="4" xfId="0" applyFont="1" applyBorder="1" applyAlignment="1">
      <alignment horizontal="center" vertical="center"/>
    </xf>
    <xf numFmtId="0" fontId="18" fillId="0" borderId="0" xfId="0" applyFont="1">
      <alignment vertical="center"/>
    </xf>
    <xf numFmtId="0" fontId="19" fillId="3" borderId="0" xfId="0" applyFont="1" applyFill="1">
      <alignment vertical="center"/>
    </xf>
    <xf numFmtId="0" fontId="22" fillId="0" borderId="0" xfId="0" applyFont="1">
      <alignment vertical="center"/>
    </xf>
    <xf numFmtId="0" fontId="23" fillId="3" borderId="0" xfId="0" applyFont="1" applyFill="1">
      <alignment vertical="center"/>
    </xf>
    <xf numFmtId="0" fontId="14" fillId="0" borderId="0" xfId="0" applyFont="1">
      <alignment vertical="center"/>
    </xf>
    <xf numFmtId="0" fontId="18" fillId="6" borderId="0" xfId="0" applyFont="1" applyFill="1" applyAlignment="1">
      <alignment horizontal="center" vertical="center"/>
    </xf>
    <xf numFmtId="12" fontId="18" fillId="6" borderId="0" xfId="0" quotePrefix="1" applyNumberFormat="1" applyFont="1" applyFill="1" applyAlignment="1">
      <alignment horizontal="center" vertical="center"/>
    </xf>
    <xf numFmtId="0" fontId="24" fillId="0" borderId="0" xfId="0" applyFont="1" applyAlignment="1">
      <alignment horizontal="center" vertical="center"/>
    </xf>
    <xf numFmtId="0" fontId="14" fillId="0" borderId="0" xfId="0" applyFont="1" applyAlignment="1">
      <alignment horizontal="center" vertical="center"/>
    </xf>
    <xf numFmtId="0" fontId="18" fillId="0" borderId="0" xfId="0" applyFont="1" applyAlignment="1">
      <alignment horizontal="left" vertical="center"/>
    </xf>
    <xf numFmtId="0" fontId="14" fillId="0" borderId="0" xfId="0" applyFont="1" applyAlignment="1">
      <alignment horizontal="right" vertical="center"/>
    </xf>
    <xf numFmtId="0" fontId="25" fillId="3" borderId="0" xfId="0" applyFont="1" applyFill="1">
      <alignment vertical="center"/>
    </xf>
    <xf numFmtId="0" fontId="24" fillId="0" borderId="0" xfId="0" quotePrefix="1" applyFont="1" applyAlignment="1">
      <alignment horizontal="center" vertical="center"/>
    </xf>
    <xf numFmtId="0" fontId="25" fillId="3" borderId="0" xfId="0" applyFont="1" applyFill="1" applyAlignment="1">
      <alignment horizontal="center" vertical="center"/>
    </xf>
    <xf numFmtId="0" fontId="22" fillId="0" borderId="0" xfId="0" applyFont="1" applyAlignment="1">
      <alignment horizontal="center" vertical="center"/>
    </xf>
    <xf numFmtId="0" fontId="17" fillId="0" borderId="0" xfId="0" applyFont="1" applyAlignment="1">
      <alignment horizontal="center" vertical="center"/>
    </xf>
    <xf numFmtId="0" fontId="17" fillId="0" borderId="0" xfId="0" applyFont="1" applyAlignment="1" applyProtection="1">
      <alignment horizontal="center" vertical="center"/>
      <protection locked="0"/>
    </xf>
    <xf numFmtId="0" fontId="17" fillId="0" borderId="0" xfId="0" applyFont="1">
      <alignment vertical="center"/>
    </xf>
    <xf numFmtId="0" fontId="16" fillId="3" borderId="0" xfId="0" applyFont="1" applyFill="1">
      <alignment vertical="center"/>
    </xf>
    <xf numFmtId="0" fontId="24" fillId="0" borderId="0" xfId="0" applyFont="1" applyAlignment="1">
      <alignment horizontal="center" vertical="center" wrapText="1"/>
    </xf>
    <xf numFmtId="0" fontId="14" fillId="0" borderId="0" xfId="0" applyFont="1" applyAlignment="1">
      <alignment horizontal="left" vertical="center" wrapText="1"/>
    </xf>
    <xf numFmtId="0" fontId="14" fillId="0" borderId="0" xfId="0" applyFont="1" applyAlignment="1">
      <alignment vertical="center" wrapText="1"/>
    </xf>
    <xf numFmtId="0" fontId="17" fillId="8" borderId="0" xfId="0" applyFont="1" applyFill="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7" fillId="0" borderId="8" xfId="0" applyFont="1" applyBorder="1" applyAlignment="1">
      <alignment horizontal="center"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7" fillId="0" borderId="10" xfId="0" applyFont="1" applyBorder="1">
      <alignment vertical="center"/>
    </xf>
    <xf numFmtId="0" fontId="26" fillId="9" borderId="14" xfId="0" applyFont="1" applyFill="1" applyBorder="1" applyAlignment="1">
      <alignment horizontal="center" vertical="center" wrapText="1"/>
    </xf>
    <xf numFmtId="0" fontId="18" fillId="0" borderId="14" xfId="0" applyFont="1" applyBorder="1" applyAlignment="1">
      <alignment horizontal="center" vertical="center"/>
    </xf>
    <xf numFmtId="0" fontId="18" fillId="0" borderId="15" xfId="0" applyFont="1" applyBorder="1" applyAlignment="1">
      <alignment horizontal="center" vertical="center"/>
    </xf>
    <xf numFmtId="0" fontId="18" fillId="8" borderId="14" xfId="0" applyFont="1" applyFill="1" applyBorder="1" applyAlignment="1" applyProtection="1">
      <alignment horizontal="center" vertical="center"/>
      <protection locked="0"/>
    </xf>
    <xf numFmtId="0" fontId="18" fillId="0" borderId="14" xfId="0" applyFont="1" applyBorder="1" applyAlignment="1">
      <alignment horizontal="center" vertical="center" wrapText="1"/>
    </xf>
    <xf numFmtId="178" fontId="18" fillId="0" borderId="15" xfId="0" applyNumberFormat="1" applyFont="1" applyBorder="1" applyAlignment="1">
      <alignment horizontal="center" vertical="center"/>
    </xf>
    <xf numFmtId="0" fontId="18" fillId="0" borderId="14" xfId="0" applyFont="1" applyBorder="1" applyAlignment="1">
      <alignment horizontal="center" vertical="center" wrapText="1" shrinkToFit="1"/>
    </xf>
    <xf numFmtId="178" fontId="18" fillId="0" borderId="14" xfId="0" applyNumberFormat="1" applyFont="1" applyBorder="1" applyAlignment="1">
      <alignment horizontal="center" vertical="center"/>
    </xf>
    <xf numFmtId="0" fontId="26" fillId="9" borderId="16" xfId="0" applyFont="1" applyFill="1" applyBorder="1" applyAlignment="1">
      <alignment horizontal="center" vertical="center" wrapText="1"/>
    </xf>
    <xf numFmtId="0" fontId="18" fillId="0" borderId="16"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20" fillId="0" borderId="14" xfId="0" applyFont="1" applyBorder="1" applyAlignment="1">
      <alignment horizontal="center" vertical="center"/>
    </xf>
    <xf numFmtId="0" fontId="18" fillId="0" borderId="14" xfId="0" applyFont="1" applyBorder="1" applyAlignment="1" applyProtection="1">
      <alignment horizontal="center" vertical="center"/>
      <protection locked="0"/>
    </xf>
    <xf numFmtId="0" fontId="18" fillId="0" borderId="27" xfId="0" applyFont="1" applyBorder="1" applyAlignment="1">
      <alignment horizontal="center" vertical="center"/>
    </xf>
    <xf numFmtId="0" fontId="14" fillId="5" borderId="17" xfId="0" applyFont="1" applyFill="1" applyBorder="1" applyAlignment="1">
      <alignment horizontal="center" vertical="center"/>
    </xf>
    <xf numFmtId="0" fontId="21" fillId="0" borderId="0" xfId="0" applyFont="1">
      <alignment vertical="center"/>
    </xf>
    <xf numFmtId="0" fontId="22" fillId="0" borderId="29" xfId="0" applyFont="1" applyBorder="1">
      <alignment vertical="center"/>
    </xf>
    <xf numFmtId="0" fontId="22" fillId="0" borderId="29" xfId="0" applyFont="1" applyBorder="1" applyAlignment="1">
      <alignment horizontal="center" vertical="center"/>
    </xf>
    <xf numFmtId="0" fontId="22" fillId="0" borderId="30" xfId="0" applyFont="1" applyBorder="1" applyAlignment="1" applyProtection="1">
      <alignment horizontal="center" vertical="center"/>
      <protection locked="0"/>
    </xf>
    <xf numFmtId="0" fontId="22" fillId="0" borderId="31" xfId="0" applyFont="1" applyBorder="1" applyAlignment="1">
      <alignment horizontal="center" vertical="center"/>
    </xf>
    <xf numFmtId="0" fontId="22" fillId="0" borderId="32" xfId="0" applyFont="1" applyBorder="1">
      <alignment vertical="center"/>
    </xf>
    <xf numFmtId="0" fontId="22" fillId="8" borderId="31" xfId="0" applyFont="1" applyFill="1" applyBorder="1" applyAlignment="1" applyProtection="1">
      <alignment horizontal="center" vertical="center"/>
      <protection locked="0"/>
    </xf>
    <xf numFmtId="0" fontId="21" fillId="0" borderId="35" xfId="0" applyFont="1" applyBorder="1">
      <alignment vertical="center"/>
    </xf>
    <xf numFmtId="0" fontId="7" fillId="0" borderId="0" xfId="0" applyFont="1" applyAlignment="1">
      <alignment horizontal="center" vertical="center" wrapText="1"/>
    </xf>
    <xf numFmtId="0" fontId="31" fillId="0" borderId="0" xfId="0" applyFont="1">
      <alignment vertical="center"/>
    </xf>
    <xf numFmtId="0" fontId="30" fillId="5" borderId="17" xfId="0" applyFont="1" applyFill="1" applyBorder="1" applyAlignment="1">
      <alignment horizontal="center" vertical="center"/>
    </xf>
    <xf numFmtId="0" fontId="22" fillId="8" borderId="29" xfId="0" applyFont="1" applyFill="1" applyBorder="1" applyAlignment="1" applyProtection="1">
      <alignment horizontal="center" vertical="center"/>
      <protection locked="0"/>
    </xf>
    <xf numFmtId="0" fontId="22" fillId="0" borderId="30" xfId="0" applyFont="1" applyBorder="1">
      <alignment vertical="center"/>
    </xf>
    <xf numFmtId="0" fontId="18" fillId="9" borderId="18" xfId="0" applyFont="1" applyFill="1" applyBorder="1" applyAlignment="1">
      <alignment horizontal="center" vertical="center"/>
    </xf>
    <xf numFmtId="0" fontId="18" fillId="0" borderId="47" xfId="0" applyFont="1" applyBorder="1" applyAlignment="1">
      <alignment horizontal="center" vertical="center"/>
    </xf>
    <xf numFmtId="0" fontId="28" fillId="10" borderId="0" xfId="0" applyFont="1" applyFill="1">
      <alignment vertical="center"/>
    </xf>
    <xf numFmtId="0" fontId="0" fillId="10" borderId="0" xfId="0" applyFill="1" applyAlignment="1">
      <alignment horizontal="center" vertical="center"/>
    </xf>
    <xf numFmtId="0" fontId="0" fillId="10" borderId="0" xfId="0" applyFill="1">
      <alignment vertical="center"/>
    </xf>
    <xf numFmtId="0" fontId="14" fillId="10" borderId="0" xfId="0" applyFont="1" applyFill="1" applyAlignment="1">
      <alignment vertical="center" wrapText="1"/>
    </xf>
    <xf numFmtId="0" fontId="28" fillId="11" borderId="0" xfId="0" applyFont="1" applyFill="1">
      <alignment vertical="center"/>
    </xf>
    <xf numFmtId="0" fontId="0" fillId="11" borderId="0" xfId="0" applyFill="1">
      <alignment vertical="center"/>
    </xf>
    <xf numFmtId="0" fontId="28" fillId="12" borderId="0" xfId="0" applyFont="1" applyFill="1">
      <alignment vertical="center"/>
    </xf>
    <xf numFmtId="0" fontId="17" fillId="12" borderId="0" xfId="0" applyFont="1" applyFill="1">
      <alignment vertical="center"/>
    </xf>
    <xf numFmtId="0" fontId="14" fillId="12" borderId="0" xfId="0" applyFont="1" applyFill="1" applyAlignment="1">
      <alignment vertical="center" wrapText="1"/>
    </xf>
    <xf numFmtId="0" fontId="28" fillId="13" borderId="0" xfId="0" applyFont="1" applyFill="1">
      <alignment vertical="center"/>
    </xf>
    <xf numFmtId="0" fontId="17" fillId="13" borderId="0" xfId="0" applyFont="1" applyFill="1" applyAlignment="1">
      <alignment horizontal="center" vertical="center"/>
    </xf>
    <xf numFmtId="0" fontId="17" fillId="13" borderId="0" xfId="0" applyFont="1" applyFill="1">
      <alignment vertical="center"/>
    </xf>
    <xf numFmtId="0" fontId="1" fillId="0" borderId="0" xfId="0" applyFont="1">
      <alignment vertical="center"/>
    </xf>
    <xf numFmtId="0" fontId="18" fillId="7" borderId="0" xfId="0" applyFont="1" applyFill="1" applyAlignment="1">
      <alignment horizontal="left" vertical="center"/>
    </xf>
    <xf numFmtId="0" fontId="18" fillId="0" borderId="14" xfId="0" applyFont="1" applyBorder="1" applyAlignment="1">
      <alignment horizontal="left" vertical="center" indent="1"/>
    </xf>
    <xf numFmtId="0" fontId="18" fillId="0" borderId="47" xfId="0" applyFont="1" applyBorder="1" applyAlignment="1">
      <alignment horizontal="left" vertical="center" indent="1"/>
    </xf>
    <xf numFmtId="0" fontId="18" fillId="8" borderId="47" xfId="0" applyFont="1" applyFill="1" applyBorder="1" applyAlignment="1" applyProtection="1">
      <alignment horizontal="center" vertical="center"/>
      <protection locked="0"/>
    </xf>
    <xf numFmtId="0" fontId="18" fillId="0" borderId="14" xfId="0" applyFont="1" applyBorder="1" applyAlignment="1">
      <alignment horizontal="left" vertical="center" wrapText="1" indent="1"/>
    </xf>
    <xf numFmtId="2" fontId="18" fillId="0" borderId="47" xfId="0" applyNumberFormat="1" applyFont="1" applyBorder="1" applyAlignment="1">
      <alignment horizontal="center" vertical="center"/>
    </xf>
    <xf numFmtId="0" fontId="22" fillId="0" borderId="0" xfId="0" applyFont="1" applyAlignment="1" applyProtection="1">
      <alignment horizontal="center" vertical="center"/>
      <protection locked="0"/>
    </xf>
    <xf numFmtId="0" fontId="22" fillId="0" borderId="30" xfId="0" applyFont="1" applyBorder="1" applyAlignment="1">
      <alignment horizontal="center" vertical="center"/>
    </xf>
    <xf numFmtId="0" fontId="22" fillId="8" borderId="0" xfId="0" applyFont="1" applyFill="1" applyAlignment="1" applyProtection="1">
      <alignment horizontal="center" vertical="center"/>
      <protection locked="0"/>
    </xf>
    <xf numFmtId="0" fontId="22" fillId="0" borderId="35" xfId="0" applyFont="1" applyBorder="1" applyAlignment="1">
      <alignment horizontal="center" vertical="center"/>
    </xf>
    <xf numFmtId="0" fontId="28" fillId="0" borderId="0" xfId="0" applyFont="1">
      <alignment vertical="center"/>
    </xf>
    <xf numFmtId="0" fontId="27" fillId="0" borderId="0" xfId="0" applyFont="1">
      <alignment vertical="center"/>
    </xf>
    <xf numFmtId="0" fontId="0" fillId="0" borderId="18" xfId="0" applyBorder="1" applyAlignment="1">
      <alignment horizontal="center" vertical="center"/>
    </xf>
    <xf numFmtId="0" fontId="0" fillId="0" borderId="19" xfId="0" applyBorder="1" applyAlignment="1">
      <alignment horizontal="center" vertical="center"/>
    </xf>
    <xf numFmtId="0" fontId="18" fillId="0" borderId="50" xfId="0" applyFont="1" applyBorder="1" applyAlignment="1">
      <alignment horizontal="center" vertical="center"/>
    </xf>
    <xf numFmtId="0" fontId="27" fillId="0" borderId="0" xfId="0" applyFont="1" applyAlignment="1">
      <alignment horizontal="left" vertical="center"/>
    </xf>
    <xf numFmtId="0" fontId="36" fillId="0" borderId="0" xfId="0" applyFont="1">
      <alignment vertical="center"/>
    </xf>
    <xf numFmtId="0" fontId="18" fillId="7" borderId="0" xfId="0" applyFont="1" applyFill="1">
      <alignment vertical="center"/>
    </xf>
    <xf numFmtId="177" fontId="18" fillId="0" borderId="47" xfId="0" applyNumberFormat="1" applyFont="1" applyBorder="1" applyAlignment="1">
      <alignment horizontal="center" vertical="center"/>
    </xf>
    <xf numFmtId="180" fontId="18" fillId="0" borderId="47" xfId="0" applyNumberFormat="1" applyFont="1" applyBorder="1" applyAlignment="1">
      <alignment horizontal="center" vertical="center"/>
    </xf>
    <xf numFmtId="0" fontId="18" fillId="0" borderId="47" xfId="0" applyFont="1" applyBorder="1" applyAlignment="1" applyProtection="1">
      <alignment horizontal="center" vertical="center"/>
      <protection locked="0"/>
    </xf>
    <xf numFmtId="0" fontId="20" fillId="0" borderId="14" xfId="0" applyFont="1" applyBorder="1" applyAlignment="1">
      <alignment horizontal="center" vertical="center" wrapText="1"/>
    </xf>
    <xf numFmtId="0" fontId="40" fillId="0" borderId="0" xfId="0" applyFont="1" applyAlignment="1">
      <alignment horizontal="center" vertical="center"/>
    </xf>
    <xf numFmtId="0" fontId="18" fillId="0" borderId="69" xfId="0" applyFont="1" applyBorder="1" applyAlignment="1">
      <alignment horizontal="center" vertical="center"/>
    </xf>
    <xf numFmtId="0" fontId="18" fillId="0" borderId="68" xfId="0" applyFont="1" applyBorder="1" applyAlignment="1">
      <alignment horizontal="center" vertical="center"/>
    </xf>
    <xf numFmtId="181" fontId="18" fillId="0" borderId="14" xfId="0" applyNumberFormat="1" applyFont="1" applyBorder="1" applyAlignment="1">
      <alignment horizontal="center" vertical="center"/>
    </xf>
    <xf numFmtId="181" fontId="18" fillId="0" borderId="15" xfId="0" applyNumberFormat="1" applyFont="1" applyBorder="1" applyAlignment="1">
      <alignment horizontal="center" vertical="center"/>
    </xf>
    <xf numFmtId="181" fontId="18" fillId="0" borderId="63" xfId="0" applyNumberFormat="1" applyFont="1" applyBorder="1" applyAlignment="1">
      <alignment horizontal="center" vertical="center"/>
    </xf>
    <xf numFmtId="0" fontId="19" fillId="0" borderId="14" xfId="0" applyFont="1" applyBorder="1" applyAlignment="1">
      <alignment horizontal="left" vertical="center" indent="1"/>
    </xf>
    <xf numFmtId="0" fontId="4" fillId="0" borderId="1" xfId="0" applyFon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4" fillId="0" borderId="3" xfId="0" applyFont="1" applyBorder="1" applyAlignment="1">
      <alignment horizontal="center" vertical="center"/>
    </xf>
    <xf numFmtId="0" fontId="0" fillId="0" borderId="1" xfId="0" applyBorder="1" applyAlignment="1">
      <alignment horizontal="center" vertical="center"/>
    </xf>
    <xf numFmtId="0" fontId="14" fillId="0" borderId="0" xfId="0" applyFont="1" applyAlignment="1">
      <alignment horizontal="left" vertical="center" wrapText="1"/>
    </xf>
    <xf numFmtId="0" fontId="20" fillId="0" borderId="14"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26" fillId="9" borderId="14" xfId="0" applyFont="1" applyFill="1" applyBorder="1" applyAlignment="1" applyProtection="1">
      <alignment horizontal="center" vertical="center"/>
      <protection locked="0"/>
    </xf>
    <xf numFmtId="0" fontId="26" fillId="9" borderId="14" xfId="0" applyFont="1" applyFill="1" applyBorder="1" applyAlignment="1">
      <alignment horizontal="center" vertical="center"/>
    </xf>
    <xf numFmtId="0" fontId="26" fillId="9" borderId="16" xfId="0" applyFont="1" applyFill="1" applyBorder="1" applyAlignment="1">
      <alignment horizontal="center" vertical="center"/>
    </xf>
    <xf numFmtId="0" fontId="18" fillId="0" borderId="0" xfId="0" applyFont="1" applyAlignment="1">
      <alignment horizontal="left" vertical="center" wrapText="1"/>
    </xf>
    <xf numFmtId="0" fontId="18" fillId="0" borderId="42" xfId="0" applyFont="1" applyBorder="1" applyAlignment="1">
      <alignment horizontal="left" vertical="center" wrapText="1" indent="1"/>
    </xf>
    <xf numFmtId="0" fontId="18" fillId="0" borderId="43" xfId="0" applyFont="1" applyBorder="1" applyAlignment="1">
      <alignment horizontal="left" vertical="center" indent="1"/>
    </xf>
    <xf numFmtId="0" fontId="18" fillId="0" borderId="44" xfId="0" applyFont="1" applyBorder="1" applyAlignment="1">
      <alignment horizontal="left" vertical="center" indent="1"/>
    </xf>
    <xf numFmtId="0" fontId="18" fillId="0" borderId="14" xfId="0" applyFont="1" applyBorder="1" applyAlignment="1">
      <alignment horizontal="center" vertical="center"/>
    </xf>
    <xf numFmtId="0" fontId="18" fillId="0" borderId="21" xfId="0" applyFont="1" applyBorder="1" applyAlignment="1">
      <alignment horizontal="left" vertical="center"/>
    </xf>
    <xf numFmtId="0" fontId="18" fillId="0" borderId="22" xfId="0" applyFont="1" applyBorder="1" applyAlignment="1">
      <alignment horizontal="left" vertical="center"/>
    </xf>
    <xf numFmtId="0" fontId="18" fillId="0" borderId="23" xfId="0" applyFont="1" applyBorder="1" applyAlignment="1">
      <alignment horizontal="left" vertical="center"/>
    </xf>
    <xf numFmtId="0" fontId="18" fillId="0" borderId="24" xfId="0" applyFont="1" applyBorder="1" applyAlignment="1">
      <alignment horizontal="left" vertical="center"/>
    </xf>
    <xf numFmtId="0" fontId="18" fillId="0" borderId="25" xfId="0" applyFont="1" applyBorder="1" applyAlignment="1">
      <alignment horizontal="left" vertical="center"/>
    </xf>
    <xf numFmtId="0" fontId="18" fillId="0" borderId="26" xfId="0" applyFont="1" applyBorder="1" applyAlignment="1">
      <alignment horizontal="left" vertical="center"/>
    </xf>
    <xf numFmtId="0" fontId="27" fillId="9" borderId="28" xfId="0" applyFont="1" applyFill="1" applyBorder="1" applyAlignment="1">
      <alignment horizontal="left" vertical="center"/>
    </xf>
    <xf numFmtId="0" fontId="18" fillId="0" borderId="61" xfId="0" applyFont="1" applyBorder="1" applyAlignment="1">
      <alignment horizontal="center" vertical="center"/>
    </xf>
    <xf numFmtId="0" fontId="18" fillId="0" borderId="0" xfId="0" applyFont="1" applyAlignment="1">
      <alignment horizontal="center" vertical="center"/>
    </xf>
    <xf numFmtId="0" fontId="18" fillId="0" borderId="62" xfId="0" applyFont="1" applyBorder="1" applyAlignment="1">
      <alignment horizontal="center" vertical="center"/>
    </xf>
    <xf numFmtId="0" fontId="18" fillId="0" borderId="64" xfId="0" applyFont="1" applyBorder="1" applyAlignment="1">
      <alignment horizontal="center" vertical="center"/>
    </xf>
    <xf numFmtId="0" fontId="18" fillId="0" borderId="65" xfId="0" applyFont="1" applyBorder="1" applyAlignment="1">
      <alignment horizontal="center" vertical="center"/>
    </xf>
    <xf numFmtId="0" fontId="18" fillId="0" borderId="66" xfId="0" applyFont="1" applyBorder="1" applyAlignment="1">
      <alignment horizontal="center" vertical="center"/>
    </xf>
    <xf numFmtId="0" fontId="18" fillId="0" borderId="67" xfId="0" applyFont="1" applyBorder="1" applyAlignment="1">
      <alignment horizontal="center" vertical="center" wrapText="1"/>
    </xf>
    <xf numFmtId="0" fontId="18" fillId="0" borderId="66" xfId="0" applyFont="1" applyBorder="1" applyAlignment="1">
      <alignment horizontal="center" vertical="center" wrapText="1"/>
    </xf>
    <xf numFmtId="0" fontId="18" fillId="0" borderId="21" xfId="0" applyFont="1" applyBorder="1" applyAlignment="1">
      <alignment horizontal="left" vertical="center" wrapText="1"/>
    </xf>
    <xf numFmtId="0" fontId="18" fillId="0" borderId="0" xfId="0" applyFont="1" applyAlignment="1">
      <alignment horizontal="left" vertical="center"/>
    </xf>
    <xf numFmtId="0" fontId="18" fillId="4" borderId="20" xfId="0" applyFont="1" applyFill="1" applyBorder="1" applyAlignment="1">
      <alignment horizontal="left" vertical="center" wrapText="1"/>
    </xf>
    <xf numFmtId="0" fontId="18" fillId="4" borderId="20" xfId="0" applyFont="1" applyFill="1" applyBorder="1" applyAlignment="1">
      <alignment horizontal="left" vertical="center"/>
    </xf>
    <xf numFmtId="0" fontId="30" fillId="5" borderId="17" xfId="0" applyFont="1" applyFill="1" applyBorder="1" applyAlignment="1">
      <alignment horizontal="center" vertical="center" wrapText="1"/>
    </xf>
    <xf numFmtId="0" fontId="30" fillId="5" borderId="18" xfId="0" applyFont="1" applyFill="1" applyBorder="1" applyAlignment="1">
      <alignment horizontal="center" vertical="center" wrapText="1"/>
    </xf>
    <xf numFmtId="179" fontId="0" fillId="0" borderId="0" xfId="0" applyNumberFormat="1" applyAlignment="1">
      <alignment horizontal="center" vertical="center"/>
    </xf>
    <xf numFmtId="0" fontId="20" fillId="0" borderId="14" xfId="0" applyFont="1" applyBorder="1" applyAlignment="1">
      <alignment horizontal="center" vertical="center" wrapText="1"/>
    </xf>
    <xf numFmtId="0" fontId="18" fillId="0" borderId="14" xfId="0" applyFont="1" applyBorder="1" applyAlignment="1">
      <alignment horizontal="center" vertical="center" wrapText="1"/>
    </xf>
    <xf numFmtId="0" fontId="21" fillId="0" borderId="33" xfId="0" applyFont="1" applyBorder="1" applyAlignment="1">
      <alignment horizontal="center" vertical="center"/>
    </xf>
    <xf numFmtId="0" fontId="21" fillId="0" borderId="34" xfId="0" applyFont="1" applyBorder="1" applyAlignment="1">
      <alignment horizontal="center" vertical="center"/>
    </xf>
    <xf numFmtId="0" fontId="32" fillId="9" borderId="0" xfId="0" applyFont="1" applyFill="1" applyAlignment="1">
      <alignment horizontal="left" vertical="center"/>
    </xf>
    <xf numFmtId="0" fontId="18" fillId="0" borderId="0" xfId="0" applyFont="1" applyAlignment="1">
      <alignment horizontal="left" vertical="center" wrapText="1" indent="1"/>
    </xf>
    <xf numFmtId="0" fontId="1" fillId="0" borderId="38" xfId="0" applyFont="1" applyBorder="1" applyAlignment="1">
      <alignment horizontal="left" vertical="center"/>
    </xf>
    <xf numFmtId="0" fontId="14" fillId="0" borderId="38" xfId="0" applyFont="1" applyBorder="1" applyAlignment="1">
      <alignment horizontal="left" vertical="center"/>
    </xf>
    <xf numFmtId="0" fontId="14" fillId="0" borderId="39" xfId="0" applyFont="1" applyBorder="1" applyAlignment="1">
      <alignment horizontal="left" vertical="center"/>
    </xf>
    <xf numFmtId="0" fontId="18" fillId="0" borderId="38" xfId="0" applyFont="1" applyBorder="1" applyAlignment="1">
      <alignment horizontal="left" vertical="center"/>
    </xf>
    <xf numFmtId="0" fontId="18" fillId="0" borderId="39" xfId="0" applyFont="1" applyBorder="1" applyAlignment="1">
      <alignment horizontal="left" vertical="center"/>
    </xf>
    <xf numFmtId="0" fontId="1" fillId="0" borderId="37" xfId="0" applyFont="1" applyBorder="1" applyAlignment="1">
      <alignment horizontal="left" vertical="center"/>
    </xf>
    <xf numFmtId="0" fontId="14" fillId="0" borderId="37" xfId="0" applyFont="1" applyBorder="1" applyAlignment="1">
      <alignment horizontal="left" vertical="center"/>
    </xf>
    <xf numFmtId="0" fontId="14" fillId="0" borderId="36" xfId="0" applyFont="1" applyBorder="1" applyAlignment="1">
      <alignment horizontal="left" vertical="center"/>
    </xf>
    <xf numFmtId="0" fontId="18" fillId="0" borderId="16" xfId="0" applyFont="1" applyBorder="1" applyAlignment="1">
      <alignment horizontal="left" vertical="center"/>
    </xf>
    <xf numFmtId="0" fontId="18" fillId="0" borderId="40" xfId="0" applyFont="1" applyBorder="1" applyAlignment="1">
      <alignment horizontal="left" vertical="center"/>
    </xf>
    <xf numFmtId="0" fontId="18" fillId="0" borderId="41" xfId="0" applyFont="1" applyBorder="1" applyAlignment="1">
      <alignment horizontal="left" vertical="center"/>
    </xf>
    <xf numFmtId="0" fontId="18" fillId="0" borderId="16" xfId="0" applyFont="1" applyBorder="1" applyAlignment="1">
      <alignment horizontal="center" vertical="center"/>
    </xf>
    <xf numFmtId="0" fontId="18" fillId="0" borderId="41" xfId="0" applyFont="1" applyBorder="1" applyAlignment="1">
      <alignment horizontal="center" vertical="center"/>
    </xf>
    <xf numFmtId="0" fontId="18" fillId="0" borderId="52" xfId="0" applyFont="1" applyBorder="1" applyAlignment="1">
      <alignment horizontal="center" vertical="center"/>
    </xf>
    <xf numFmtId="0" fontId="26" fillId="9" borderId="16" xfId="0" applyFont="1" applyFill="1" applyBorder="1" applyAlignment="1">
      <alignment horizontal="center" vertical="center" wrapText="1"/>
    </xf>
    <xf numFmtId="0" fontId="26" fillId="9" borderId="40" xfId="0" applyFont="1" applyFill="1" applyBorder="1" applyAlignment="1">
      <alignment horizontal="center" vertical="center" wrapText="1"/>
    </xf>
    <xf numFmtId="0" fontId="26" fillId="9" borderId="52" xfId="0" applyFont="1" applyFill="1" applyBorder="1" applyAlignment="1">
      <alignment horizontal="center" vertical="center" wrapText="1"/>
    </xf>
    <xf numFmtId="0" fontId="26" fillId="9" borderId="40" xfId="0" applyFont="1" applyFill="1" applyBorder="1" applyAlignment="1">
      <alignment horizontal="center" vertical="center"/>
    </xf>
    <xf numFmtId="0" fontId="26" fillId="9" borderId="41" xfId="0" applyFont="1" applyFill="1" applyBorder="1" applyAlignment="1">
      <alignment horizontal="center" vertical="center"/>
    </xf>
    <xf numFmtId="0" fontId="26" fillId="9" borderId="48" xfId="0" applyFont="1" applyFill="1" applyBorder="1" applyAlignment="1">
      <alignment horizontal="center" vertical="center"/>
    </xf>
    <xf numFmtId="0" fontId="26" fillId="9" borderId="49" xfId="0" applyFont="1" applyFill="1" applyBorder="1" applyAlignment="1">
      <alignment horizontal="center" vertical="center"/>
    </xf>
    <xf numFmtId="0" fontId="26" fillId="9" borderId="50" xfId="0" applyFont="1" applyFill="1" applyBorder="1" applyAlignment="1">
      <alignment horizontal="center" vertical="center"/>
    </xf>
    <xf numFmtId="0" fontId="26" fillId="9" borderId="51" xfId="0" applyFont="1" applyFill="1" applyBorder="1" applyAlignment="1">
      <alignment horizontal="center" vertical="center"/>
    </xf>
    <xf numFmtId="0" fontId="27" fillId="9" borderId="14" xfId="0" applyFont="1" applyFill="1" applyBorder="1" applyAlignment="1">
      <alignment horizontal="left" vertical="center"/>
    </xf>
    <xf numFmtId="0" fontId="18" fillId="0" borderId="45" xfId="0" applyFont="1" applyBorder="1" applyAlignment="1">
      <alignment horizontal="center" vertical="center"/>
    </xf>
    <xf numFmtId="0" fontId="18" fillId="0" borderId="46" xfId="0" applyFont="1" applyBorder="1" applyAlignment="1">
      <alignment horizontal="center" vertical="center"/>
    </xf>
    <xf numFmtId="0" fontId="18" fillId="0" borderId="47" xfId="0" applyFont="1" applyBorder="1" applyAlignment="1">
      <alignment horizontal="center" vertical="center"/>
    </xf>
    <xf numFmtId="0" fontId="33" fillId="9" borderId="45" xfId="0" applyFont="1" applyFill="1" applyBorder="1" applyAlignment="1">
      <alignment horizontal="center" vertical="center"/>
    </xf>
    <xf numFmtId="0" fontId="33" fillId="9" borderId="47" xfId="0" applyFont="1" applyFill="1" applyBorder="1" applyAlignment="1">
      <alignment horizontal="center" vertical="center"/>
    </xf>
    <xf numFmtId="0" fontId="30" fillId="5" borderId="53" xfId="0" applyFont="1" applyFill="1" applyBorder="1" applyAlignment="1">
      <alignment horizontal="center" vertical="center"/>
    </xf>
    <xf numFmtId="0" fontId="30" fillId="5" borderId="27" xfId="0" applyFont="1" applyFill="1" applyBorder="1" applyAlignment="1">
      <alignment horizontal="center" vertical="center"/>
    </xf>
    <xf numFmtId="0" fontId="30" fillId="5" borderId="17" xfId="0" applyFont="1" applyFill="1" applyBorder="1" applyAlignment="1">
      <alignment horizontal="center" vertical="center"/>
    </xf>
    <xf numFmtId="0" fontId="30" fillId="5" borderId="18" xfId="0" applyFont="1" applyFill="1" applyBorder="1" applyAlignment="1">
      <alignment horizontal="center" vertical="center"/>
    </xf>
    <xf numFmtId="0" fontId="33" fillId="9" borderId="14" xfId="0" applyFont="1" applyFill="1" applyBorder="1" applyAlignment="1">
      <alignment horizontal="center" vertical="center"/>
    </xf>
    <xf numFmtId="0" fontId="26" fillId="9" borderId="45" xfId="0" applyFont="1" applyFill="1" applyBorder="1" applyAlignment="1" applyProtection="1">
      <alignment horizontal="center" vertical="center"/>
      <protection locked="0"/>
    </xf>
    <xf numFmtId="0" fontId="26" fillId="9" borderId="47" xfId="0" applyFont="1" applyFill="1" applyBorder="1" applyAlignment="1" applyProtection="1">
      <alignment horizontal="center" vertical="center"/>
      <protection locked="0"/>
    </xf>
    <xf numFmtId="0" fontId="26" fillId="9" borderId="52" xfId="0" applyFont="1" applyFill="1" applyBorder="1" applyAlignment="1">
      <alignment horizontal="center" vertical="center"/>
    </xf>
    <xf numFmtId="0" fontId="26" fillId="9" borderId="45" xfId="0" applyFont="1" applyFill="1" applyBorder="1" applyAlignment="1">
      <alignment horizontal="center" vertical="center"/>
    </xf>
    <xf numFmtId="0" fontId="26" fillId="9" borderId="47" xfId="0" applyFont="1" applyFill="1" applyBorder="1" applyAlignment="1">
      <alignment horizontal="center" vertical="center"/>
    </xf>
    <xf numFmtId="0" fontId="30" fillId="5" borderId="53" xfId="0" applyFont="1" applyFill="1" applyBorder="1" applyAlignment="1">
      <alignment horizontal="center" vertical="center" wrapText="1"/>
    </xf>
    <xf numFmtId="0" fontId="30" fillId="5" borderId="27" xfId="0" applyFont="1" applyFill="1" applyBorder="1" applyAlignment="1">
      <alignment horizontal="center" vertical="center" wrapText="1"/>
    </xf>
    <xf numFmtId="0" fontId="18" fillId="0" borderId="58" xfId="0" applyFont="1" applyBorder="1" applyAlignment="1">
      <alignment horizontal="center" vertical="center"/>
    </xf>
    <xf numFmtId="0" fontId="18" fillId="0" borderId="59" xfId="0" applyFont="1" applyBorder="1" applyAlignment="1">
      <alignment horizontal="center" vertical="center"/>
    </xf>
    <xf numFmtId="0" fontId="18" fillId="0" borderId="60" xfId="0" applyFont="1" applyBorder="1" applyAlignment="1">
      <alignment horizontal="center" vertical="center"/>
    </xf>
    <xf numFmtId="0" fontId="20" fillId="0" borderId="47" xfId="0" applyFont="1" applyBorder="1" applyAlignment="1">
      <alignment horizontal="center" vertical="center" wrapText="1"/>
    </xf>
    <xf numFmtId="0" fontId="21" fillId="0" borderId="54" xfId="0" applyFont="1" applyBorder="1" applyAlignment="1">
      <alignment horizontal="center" vertical="center"/>
    </xf>
    <xf numFmtId="0" fontId="18" fillId="0" borderId="55" xfId="0" applyFont="1" applyBorder="1" applyAlignment="1">
      <alignment horizontal="left" vertical="center" wrapText="1" indent="1"/>
    </xf>
    <xf numFmtId="0" fontId="18" fillId="0" borderId="56" xfId="0" applyFont="1" applyBorder="1" applyAlignment="1">
      <alignment horizontal="left" vertical="center" indent="1"/>
    </xf>
    <xf numFmtId="0" fontId="18" fillId="0" borderId="57" xfId="0" applyFont="1" applyBorder="1" applyAlignment="1">
      <alignment horizontal="left" vertical="center" indent="1"/>
    </xf>
    <xf numFmtId="0" fontId="18" fillId="6" borderId="20" xfId="0" applyFont="1" applyFill="1" applyBorder="1" applyAlignment="1">
      <alignment horizontal="center" vertical="center"/>
    </xf>
    <xf numFmtId="0" fontId="18" fillId="7" borderId="0" xfId="0" applyFont="1" applyFill="1" applyAlignment="1">
      <alignment horizontal="left" vertical="center"/>
    </xf>
    <xf numFmtId="0" fontId="18" fillId="5" borderId="20" xfId="0" applyFont="1" applyFill="1" applyBorder="1" applyAlignment="1">
      <alignment horizontal="left" vertical="center" wrapText="1"/>
    </xf>
    <xf numFmtId="0" fontId="18" fillId="5" borderId="20" xfId="0" applyFont="1" applyFill="1" applyBorder="1" applyAlignment="1">
      <alignment horizontal="left" vertical="center"/>
    </xf>
    <xf numFmtId="12" fontId="18" fillId="6" borderId="20" xfId="0" applyNumberFormat="1" applyFont="1" applyFill="1" applyBorder="1" applyAlignment="1">
      <alignment horizontal="center" vertical="center"/>
    </xf>
    <xf numFmtId="0" fontId="27" fillId="9" borderId="14" xfId="0" applyFont="1" applyFill="1" applyBorder="1" applyAlignment="1">
      <alignment horizontal="center" vertical="center"/>
    </xf>
    <xf numFmtId="0" fontId="27" fillId="9" borderId="16" xfId="0" applyFont="1" applyFill="1" applyBorder="1" applyAlignment="1">
      <alignment horizontal="center" vertical="center"/>
    </xf>
    <xf numFmtId="0" fontId="18" fillId="0" borderId="14" xfId="0" applyFont="1" applyBorder="1" applyAlignment="1">
      <alignment horizontal="left" vertical="center"/>
    </xf>
    <xf numFmtId="0" fontId="18" fillId="0" borderId="14" xfId="0" applyFont="1" applyBorder="1" applyAlignment="1">
      <alignment horizontal="left" vertical="center" wrapText="1"/>
    </xf>
    <xf numFmtId="0" fontId="20" fillId="0" borderId="45" xfId="0" applyFont="1" applyBorder="1" applyAlignment="1">
      <alignment horizontal="center" vertical="center"/>
    </xf>
    <xf numFmtId="0" fontId="20" fillId="0" borderId="47" xfId="0" applyFont="1" applyBorder="1" applyAlignment="1">
      <alignment horizontal="center" vertical="center"/>
    </xf>
    <xf numFmtId="0" fontId="27" fillId="0" borderId="0" xfId="0" applyFont="1" applyAlignment="1">
      <alignment horizontal="left" vertical="center"/>
    </xf>
  </cellXfs>
  <cellStyles count="1">
    <cellStyle name="표준" xfId="0" builtinId="0"/>
  </cellStyles>
  <dxfs count="20">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
      <fill>
        <patternFill>
          <bgColor rgb="FFFF8585"/>
        </patternFill>
      </fill>
    </dxf>
  </dxfs>
  <tableStyles count="0" defaultTableStyle="TableStyleMedium2" defaultPivotStyle="PivotStyleLight16"/>
  <colors>
    <mruColors>
      <color rgb="FF0000FF"/>
      <color rgb="FFF5F54D"/>
      <color rgb="FFFF85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29"/>
  <sheetViews>
    <sheetView showGridLines="0" zoomScale="85" zoomScaleNormal="85" workbookViewId="0">
      <selection activeCell="C30" sqref="C30"/>
    </sheetView>
  </sheetViews>
  <sheetFormatPr defaultRowHeight="16.5" x14ac:dyDescent="0.3"/>
  <cols>
    <col min="2" max="2" width="17" customWidth="1"/>
    <col min="3" max="4" width="9.875" customWidth="1"/>
    <col min="5" max="8" width="9.25" customWidth="1"/>
    <col min="9" max="9" width="1.25" customWidth="1"/>
    <col min="10" max="10" width="1.25" style="14" customWidth="1"/>
    <col min="11" max="11" width="1.25" customWidth="1"/>
    <col min="13" max="13" width="17" customWidth="1"/>
    <col min="14" max="15" width="9.875" customWidth="1"/>
    <col min="16" max="19" width="9.25" customWidth="1"/>
    <col min="20" max="20" width="1.25" customWidth="1"/>
    <col min="21" max="21" width="1.25" style="14" customWidth="1"/>
    <col min="22" max="22" width="1.25" customWidth="1"/>
    <col min="24" max="24" width="17" customWidth="1"/>
    <col min="25" max="26" width="9.875" customWidth="1"/>
    <col min="27" max="30" width="9.25" customWidth="1"/>
    <col min="31" max="31" width="25.25" customWidth="1"/>
    <col min="32" max="32" width="8.875" customWidth="1"/>
  </cols>
  <sheetData>
    <row r="1" spans="1:32" ht="28.5" customHeight="1" x14ac:dyDescent="0.3">
      <c r="A1" s="31" t="s">
        <v>40</v>
      </c>
      <c r="F1" s="29"/>
      <c r="G1" s="29"/>
      <c r="H1" s="30" t="s">
        <v>50</v>
      </c>
    </row>
    <row r="2" spans="1:32" ht="27" thickBot="1" x14ac:dyDescent="0.35">
      <c r="A2" s="18"/>
    </row>
    <row r="3" spans="1:32" ht="20.100000000000001" customHeight="1" thickBot="1" x14ac:dyDescent="0.35">
      <c r="A3" s="139" t="s">
        <v>37</v>
      </c>
      <c r="B3" s="140"/>
      <c r="C3" s="25" t="s">
        <v>38</v>
      </c>
      <c r="D3" s="26">
        <v>3</v>
      </c>
      <c r="E3" s="26" t="s">
        <v>33</v>
      </c>
      <c r="F3" s="25" t="s">
        <v>39</v>
      </c>
      <c r="G3" s="27"/>
      <c r="H3" s="28" t="s">
        <v>34</v>
      </c>
      <c r="L3" s="139" t="s">
        <v>45</v>
      </c>
      <c r="M3" s="140"/>
      <c r="N3" s="25" t="s">
        <v>38</v>
      </c>
      <c r="O3" s="26">
        <v>3</v>
      </c>
      <c r="P3" s="26" t="s">
        <v>46</v>
      </c>
      <c r="Q3" s="25" t="s">
        <v>47</v>
      </c>
      <c r="R3" s="27"/>
      <c r="S3" s="28" t="s">
        <v>48</v>
      </c>
      <c r="W3" s="139" t="s">
        <v>45</v>
      </c>
      <c r="X3" s="140"/>
      <c r="Y3" s="25" t="s">
        <v>38</v>
      </c>
      <c r="Z3" s="26">
        <v>3</v>
      </c>
      <c r="AA3" s="26" t="s">
        <v>46</v>
      </c>
      <c r="AB3" s="25" t="s">
        <v>47</v>
      </c>
      <c r="AC3" s="27"/>
      <c r="AD3" s="28" t="s">
        <v>48</v>
      </c>
    </row>
    <row r="4" spans="1:32" ht="20.100000000000001" customHeight="1" x14ac:dyDescent="0.3">
      <c r="A4" s="23"/>
      <c r="B4" s="23"/>
      <c r="C4" s="24"/>
      <c r="F4" s="24"/>
      <c r="L4" s="23"/>
      <c r="M4" s="23"/>
      <c r="N4" s="24"/>
      <c r="Q4" s="24"/>
      <c r="W4" s="23"/>
      <c r="X4" s="23"/>
      <c r="Y4" s="24"/>
      <c r="AB4" s="24"/>
    </row>
    <row r="5" spans="1:32" ht="23.25" customHeight="1" x14ac:dyDescent="0.3">
      <c r="A5" s="16" t="s">
        <v>41</v>
      </c>
      <c r="B5" s="16"/>
      <c r="C5" s="16">
        <v>1</v>
      </c>
      <c r="L5" s="16" t="s">
        <v>42</v>
      </c>
      <c r="M5" s="16"/>
      <c r="N5" s="17">
        <v>0.66666666666666663</v>
      </c>
      <c r="W5" s="16" t="s">
        <v>43</v>
      </c>
      <c r="X5" s="16"/>
      <c r="Y5" s="17">
        <v>0.5</v>
      </c>
    </row>
    <row r="6" spans="1:32" ht="33.75" thickBot="1" x14ac:dyDescent="0.35">
      <c r="A6" s="7"/>
      <c r="B6" s="7" t="s">
        <v>36</v>
      </c>
      <c r="C6" s="8" t="s">
        <v>30</v>
      </c>
      <c r="D6" s="8" t="s">
        <v>31</v>
      </c>
      <c r="E6" s="9" t="s">
        <v>29</v>
      </c>
      <c r="F6" s="9" t="s">
        <v>35</v>
      </c>
      <c r="G6" s="9" t="s">
        <v>32</v>
      </c>
      <c r="H6" s="7" t="s">
        <v>44</v>
      </c>
      <c r="I6" s="13"/>
      <c r="J6" s="15"/>
      <c r="K6" s="13"/>
      <c r="L6" s="7"/>
      <c r="M6" s="7" t="s">
        <v>36</v>
      </c>
      <c r="N6" s="8" t="s">
        <v>30</v>
      </c>
      <c r="O6" s="8" t="s">
        <v>31</v>
      </c>
      <c r="P6" s="9" t="s">
        <v>29</v>
      </c>
      <c r="Q6" s="9" t="s">
        <v>35</v>
      </c>
      <c r="R6" s="9" t="s">
        <v>32</v>
      </c>
      <c r="S6" s="7" t="s">
        <v>44</v>
      </c>
      <c r="T6" s="13"/>
      <c r="U6" s="15"/>
      <c r="V6" s="13"/>
      <c r="W6" s="7"/>
      <c r="X6" s="7" t="s">
        <v>36</v>
      </c>
      <c r="Y6" s="8" t="s">
        <v>30</v>
      </c>
      <c r="Z6" s="8" t="s">
        <v>31</v>
      </c>
      <c r="AA6" s="9" t="s">
        <v>29</v>
      </c>
      <c r="AB6" s="9" t="s">
        <v>35</v>
      </c>
      <c r="AC6" s="9" t="s">
        <v>32</v>
      </c>
      <c r="AD6" s="7" t="s">
        <v>44</v>
      </c>
      <c r="AF6" s="12"/>
    </row>
    <row r="7" spans="1:32" ht="24.95" customHeight="1" thickTop="1" x14ac:dyDescent="0.3">
      <c r="A7" s="141" t="s">
        <v>9</v>
      </c>
      <c r="B7" s="4" t="s">
        <v>0</v>
      </c>
      <c r="C7" s="4">
        <f>D7/2</f>
        <v>600</v>
      </c>
      <c r="D7" s="4">
        <v>1200</v>
      </c>
      <c r="E7" s="5"/>
      <c r="F7" s="4">
        <f t="shared" ref="F7:F26" si="0">$E7*$G$3</f>
        <v>0</v>
      </c>
      <c r="G7" s="4">
        <f t="shared" ref="G7:G26" si="1">$F7*$D$3</f>
        <v>0</v>
      </c>
      <c r="H7" s="6" t="str">
        <f>IF(E7="","",IF(AND(G7&gt;=C7,G7&lt;=D7),"O","X"))</f>
        <v/>
      </c>
      <c r="L7" s="141" t="s">
        <v>9</v>
      </c>
      <c r="M7" s="4" t="s">
        <v>0</v>
      </c>
      <c r="N7" s="19">
        <f>O7/2</f>
        <v>400</v>
      </c>
      <c r="O7" s="19">
        <f>D7*$N$5</f>
        <v>800</v>
      </c>
      <c r="P7" s="4" t="str">
        <f>IF(E7&lt;&gt;"",E7,"")</f>
        <v/>
      </c>
      <c r="Q7" s="4">
        <f t="shared" ref="Q7:Q26" si="2">$E7*$R$3</f>
        <v>0</v>
      </c>
      <c r="R7" s="4">
        <f t="shared" ref="R7:R25" si="3">$Q7*$O$3</f>
        <v>0</v>
      </c>
      <c r="S7" s="6" t="str">
        <f>IF(P7="","",IF(AND(R7&gt;=N7,R7&lt;=O7),"O","X"))</f>
        <v/>
      </c>
      <c r="W7" s="141" t="s">
        <v>9</v>
      </c>
      <c r="X7" s="4" t="s">
        <v>0</v>
      </c>
      <c r="Y7" s="21">
        <f>Z7/2</f>
        <v>300</v>
      </c>
      <c r="Z7" s="21">
        <f>D7*$Y$5</f>
        <v>600</v>
      </c>
      <c r="AA7" s="4" t="str">
        <f>IF(P7&lt;&gt;"",P7,"")</f>
        <v/>
      </c>
      <c r="AB7" s="4">
        <f t="shared" ref="AB7:AB26" si="4">$E7*$R$3</f>
        <v>0</v>
      </c>
      <c r="AC7" s="4">
        <f t="shared" ref="AC7:AC25" si="5">$Q7*$O$3</f>
        <v>0</v>
      </c>
      <c r="AD7" s="6" t="str">
        <f>IF(AA7="","",IF(AND(AC7&gt;=Y7,AC7&lt;=Z7),"O","X"))</f>
        <v/>
      </c>
      <c r="AF7" s="11"/>
    </row>
    <row r="8" spans="1:32" ht="24.95" customHeight="1" x14ac:dyDescent="0.3">
      <c r="A8" s="138"/>
      <c r="B8" s="1" t="s">
        <v>1</v>
      </c>
      <c r="C8" s="1">
        <f t="shared" ref="C8:C26" si="6">D8/2</f>
        <v>750</v>
      </c>
      <c r="D8" s="1">
        <v>1500</v>
      </c>
      <c r="E8" s="3"/>
      <c r="F8" s="4">
        <f t="shared" si="0"/>
        <v>0</v>
      </c>
      <c r="G8" s="4">
        <f t="shared" si="1"/>
        <v>0</v>
      </c>
      <c r="H8" s="6" t="str">
        <f t="shared" ref="H8:H26" si="7">IF(E8="","",IF(AND(G8&gt;=C8,G8&lt;=D8),"O","X"))</f>
        <v/>
      </c>
      <c r="L8" s="138"/>
      <c r="M8" s="1" t="s">
        <v>1</v>
      </c>
      <c r="N8" s="20">
        <f t="shared" ref="N8:N26" si="8">O8/2</f>
        <v>500</v>
      </c>
      <c r="O8" s="19">
        <f t="shared" ref="O8:O26" si="9">D8*$N$5</f>
        <v>1000</v>
      </c>
      <c r="P8" s="4" t="str">
        <f t="shared" ref="P8:P26" si="10">IF(E8&lt;&gt;"",E8,"")</f>
        <v/>
      </c>
      <c r="Q8" s="4">
        <f t="shared" si="2"/>
        <v>0</v>
      </c>
      <c r="R8" s="4">
        <f t="shared" si="3"/>
        <v>0</v>
      </c>
      <c r="S8" s="6" t="str">
        <f t="shared" ref="S8:S26" si="11">IF(P8="","",IF(AND(R8&gt;=N8,R8&lt;=O8),"O","X"))</f>
        <v/>
      </c>
      <c r="W8" s="138"/>
      <c r="X8" s="1" t="s">
        <v>1</v>
      </c>
      <c r="Y8" s="22">
        <f t="shared" ref="Y8:Y26" si="12">Z8/2</f>
        <v>375</v>
      </c>
      <c r="Z8" s="21">
        <f t="shared" ref="Z8:Z26" si="13">D8*$Y$5</f>
        <v>750</v>
      </c>
      <c r="AA8" s="4" t="str">
        <f t="shared" ref="AA8:AA26" si="14">IF(P8&lt;&gt;"",P8,"")</f>
        <v/>
      </c>
      <c r="AB8" s="4">
        <f t="shared" si="4"/>
        <v>0</v>
      </c>
      <c r="AC8" s="4">
        <f t="shared" si="5"/>
        <v>0</v>
      </c>
      <c r="AD8" s="6" t="str">
        <f t="shared" ref="AD8:AD26" si="15">IF(AA8="","",IF(AND(AC8&gt;=Y8,AC8&lt;=Z8),"O","X"))</f>
        <v/>
      </c>
      <c r="AF8" s="11"/>
    </row>
    <row r="9" spans="1:32" ht="24.95" customHeight="1" x14ac:dyDescent="0.3">
      <c r="A9" s="142" t="s">
        <v>10</v>
      </c>
      <c r="B9" s="1" t="s">
        <v>2</v>
      </c>
      <c r="C9" s="1">
        <f t="shared" si="6"/>
        <v>1.75</v>
      </c>
      <c r="D9" s="1">
        <v>3.5</v>
      </c>
      <c r="E9" s="3"/>
      <c r="F9" s="4">
        <f t="shared" si="0"/>
        <v>0</v>
      </c>
      <c r="G9" s="4">
        <f t="shared" si="1"/>
        <v>0</v>
      </c>
      <c r="H9" s="6" t="str">
        <f t="shared" si="7"/>
        <v/>
      </c>
      <c r="L9" s="142" t="s">
        <v>10</v>
      </c>
      <c r="M9" s="1" t="s">
        <v>2</v>
      </c>
      <c r="N9" s="20">
        <f t="shared" si="8"/>
        <v>1.1666666666666665</v>
      </c>
      <c r="O9" s="19">
        <f t="shared" si="9"/>
        <v>2.333333333333333</v>
      </c>
      <c r="P9" s="4" t="str">
        <f t="shared" si="10"/>
        <v/>
      </c>
      <c r="Q9" s="4">
        <f t="shared" si="2"/>
        <v>0</v>
      </c>
      <c r="R9" s="4">
        <f t="shared" si="3"/>
        <v>0</v>
      </c>
      <c r="S9" s="6" t="str">
        <f t="shared" si="11"/>
        <v/>
      </c>
      <c r="W9" s="142" t="s">
        <v>10</v>
      </c>
      <c r="X9" s="1" t="s">
        <v>2</v>
      </c>
      <c r="Y9" s="22">
        <f t="shared" si="12"/>
        <v>0.875</v>
      </c>
      <c r="Z9" s="21">
        <f t="shared" si="13"/>
        <v>1.75</v>
      </c>
      <c r="AA9" s="4" t="str">
        <f t="shared" si="14"/>
        <v/>
      </c>
      <c r="AB9" s="4">
        <f t="shared" si="4"/>
        <v>0</v>
      </c>
      <c r="AC9" s="4">
        <f t="shared" si="5"/>
        <v>0</v>
      </c>
      <c r="AD9" s="6" t="str">
        <f t="shared" si="15"/>
        <v/>
      </c>
      <c r="AF9" s="10"/>
    </row>
    <row r="10" spans="1:32" ht="24.95" customHeight="1" x14ac:dyDescent="0.3">
      <c r="A10" s="142"/>
      <c r="B10" s="1" t="s">
        <v>3</v>
      </c>
      <c r="C10" s="1">
        <f t="shared" si="6"/>
        <v>3.75</v>
      </c>
      <c r="D10" s="1">
        <v>7.5</v>
      </c>
      <c r="E10" s="3"/>
      <c r="F10" s="4">
        <f t="shared" si="0"/>
        <v>0</v>
      </c>
      <c r="G10" s="4">
        <f t="shared" si="1"/>
        <v>0</v>
      </c>
      <c r="H10" s="6" t="str">
        <f t="shared" si="7"/>
        <v/>
      </c>
      <c r="L10" s="142"/>
      <c r="M10" s="1" t="s">
        <v>3</v>
      </c>
      <c r="N10" s="20">
        <f t="shared" si="8"/>
        <v>2.5</v>
      </c>
      <c r="O10" s="19">
        <f t="shared" si="9"/>
        <v>5</v>
      </c>
      <c r="P10" s="4" t="str">
        <f t="shared" si="10"/>
        <v/>
      </c>
      <c r="Q10" s="4">
        <f t="shared" si="2"/>
        <v>0</v>
      </c>
      <c r="R10" s="4">
        <f t="shared" si="3"/>
        <v>0</v>
      </c>
      <c r="S10" s="6" t="str">
        <f t="shared" si="11"/>
        <v/>
      </c>
      <c r="W10" s="142"/>
      <c r="X10" s="1" t="s">
        <v>3</v>
      </c>
      <c r="Y10" s="22">
        <f t="shared" si="12"/>
        <v>1.875</v>
      </c>
      <c r="Z10" s="21">
        <f t="shared" si="13"/>
        <v>3.75</v>
      </c>
      <c r="AA10" s="4" t="str">
        <f t="shared" si="14"/>
        <v/>
      </c>
      <c r="AB10" s="4">
        <f t="shared" si="4"/>
        <v>0</v>
      </c>
      <c r="AC10" s="4">
        <f t="shared" si="5"/>
        <v>0</v>
      </c>
      <c r="AD10" s="6" t="str">
        <f t="shared" si="15"/>
        <v/>
      </c>
      <c r="AF10" s="10"/>
    </row>
    <row r="11" spans="1:32" ht="24.95" customHeight="1" x14ac:dyDescent="0.3">
      <c r="A11" s="142"/>
      <c r="B11" s="1" t="s">
        <v>4</v>
      </c>
      <c r="C11" s="1">
        <f t="shared" si="6"/>
        <v>3.75</v>
      </c>
      <c r="D11" s="1">
        <v>7.5</v>
      </c>
      <c r="E11" s="3"/>
      <c r="F11" s="4">
        <f t="shared" si="0"/>
        <v>0</v>
      </c>
      <c r="G11" s="4">
        <f t="shared" si="1"/>
        <v>0</v>
      </c>
      <c r="H11" s="6" t="str">
        <f t="shared" si="7"/>
        <v/>
      </c>
      <c r="L11" s="142"/>
      <c r="M11" s="1" t="s">
        <v>4</v>
      </c>
      <c r="N11" s="20">
        <f t="shared" si="8"/>
        <v>2.5</v>
      </c>
      <c r="O11" s="19">
        <f t="shared" si="9"/>
        <v>5</v>
      </c>
      <c r="P11" s="4" t="str">
        <f t="shared" si="10"/>
        <v/>
      </c>
      <c r="Q11" s="4">
        <f t="shared" si="2"/>
        <v>0</v>
      </c>
      <c r="R11" s="4">
        <f t="shared" si="3"/>
        <v>0</v>
      </c>
      <c r="S11" s="6" t="str">
        <f t="shared" si="11"/>
        <v/>
      </c>
      <c r="W11" s="142"/>
      <c r="X11" s="1" t="s">
        <v>4</v>
      </c>
      <c r="Y11" s="22">
        <f t="shared" si="12"/>
        <v>1.875</v>
      </c>
      <c r="Z11" s="21">
        <f t="shared" si="13"/>
        <v>3.75</v>
      </c>
      <c r="AA11" s="4" t="str">
        <f t="shared" si="14"/>
        <v/>
      </c>
      <c r="AB11" s="4">
        <f t="shared" si="4"/>
        <v>0</v>
      </c>
      <c r="AC11" s="4">
        <f t="shared" si="5"/>
        <v>0</v>
      </c>
      <c r="AD11" s="6" t="str">
        <f t="shared" si="15"/>
        <v/>
      </c>
    </row>
    <row r="12" spans="1:32" ht="24.95" customHeight="1" x14ac:dyDescent="0.3">
      <c r="A12" s="142"/>
      <c r="B12" s="1" t="s">
        <v>5</v>
      </c>
      <c r="C12" s="1">
        <f t="shared" si="6"/>
        <v>2</v>
      </c>
      <c r="D12" s="1">
        <v>4</v>
      </c>
      <c r="E12" s="3"/>
      <c r="F12" s="4">
        <f t="shared" si="0"/>
        <v>0</v>
      </c>
      <c r="G12" s="4">
        <f t="shared" si="1"/>
        <v>0</v>
      </c>
      <c r="H12" s="6" t="str">
        <f t="shared" si="7"/>
        <v/>
      </c>
      <c r="L12" s="142"/>
      <c r="M12" s="1" t="s">
        <v>5</v>
      </c>
      <c r="N12" s="20">
        <f t="shared" si="8"/>
        <v>1.3333333333333333</v>
      </c>
      <c r="O12" s="19">
        <f t="shared" si="9"/>
        <v>2.6666666666666665</v>
      </c>
      <c r="P12" s="4" t="str">
        <f t="shared" si="10"/>
        <v/>
      </c>
      <c r="Q12" s="4">
        <f t="shared" si="2"/>
        <v>0</v>
      </c>
      <c r="R12" s="4">
        <f t="shared" si="3"/>
        <v>0</v>
      </c>
      <c r="S12" s="6" t="str">
        <f t="shared" si="11"/>
        <v/>
      </c>
      <c r="W12" s="142"/>
      <c r="X12" s="1" t="s">
        <v>5</v>
      </c>
      <c r="Y12" s="22">
        <f t="shared" si="12"/>
        <v>1</v>
      </c>
      <c r="Z12" s="21">
        <f t="shared" si="13"/>
        <v>2</v>
      </c>
      <c r="AA12" s="4" t="str">
        <f t="shared" si="14"/>
        <v/>
      </c>
      <c r="AB12" s="4">
        <f t="shared" si="4"/>
        <v>0</v>
      </c>
      <c r="AC12" s="4">
        <f t="shared" si="5"/>
        <v>0</v>
      </c>
      <c r="AD12" s="6" t="str">
        <f t="shared" si="15"/>
        <v/>
      </c>
    </row>
    <row r="13" spans="1:32" ht="24.95" customHeight="1" x14ac:dyDescent="0.3">
      <c r="A13" s="142"/>
      <c r="B13" s="1" t="s">
        <v>6</v>
      </c>
      <c r="C13" s="1">
        <f t="shared" si="6"/>
        <v>37.5</v>
      </c>
      <c r="D13" s="1">
        <v>75</v>
      </c>
      <c r="E13" s="3"/>
      <c r="F13" s="4">
        <f t="shared" si="0"/>
        <v>0</v>
      </c>
      <c r="G13" s="4">
        <f t="shared" si="1"/>
        <v>0</v>
      </c>
      <c r="H13" s="6" t="str">
        <f t="shared" si="7"/>
        <v/>
      </c>
      <c r="L13" s="142"/>
      <c r="M13" s="1" t="s">
        <v>6</v>
      </c>
      <c r="N13" s="20">
        <f t="shared" si="8"/>
        <v>25</v>
      </c>
      <c r="O13" s="19">
        <f t="shared" si="9"/>
        <v>50</v>
      </c>
      <c r="P13" s="4" t="str">
        <f t="shared" si="10"/>
        <v/>
      </c>
      <c r="Q13" s="4">
        <f t="shared" si="2"/>
        <v>0</v>
      </c>
      <c r="R13" s="4">
        <f t="shared" si="3"/>
        <v>0</v>
      </c>
      <c r="S13" s="6" t="str">
        <f t="shared" si="11"/>
        <v/>
      </c>
      <c r="W13" s="142"/>
      <c r="X13" s="1" t="s">
        <v>6</v>
      </c>
      <c r="Y13" s="22">
        <f t="shared" si="12"/>
        <v>18.75</v>
      </c>
      <c r="Z13" s="21">
        <f t="shared" si="13"/>
        <v>37.5</v>
      </c>
      <c r="AA13" s="4" t="str">
        <f t="shared" si="14"/>
        <v/>
      </c>
      <c r="AB13" s="4">
        <f t="shared" si="4"/>
        <v>0</v>
      </c>
      <c r="AC13" s="4">
        <f t="shared" si="5"/>
        <v>0</v>
      </c>
      <c r="AD13" s="6" t="str">
        <f t="shared" si="15"/>
        <v/>
      </c>
    </row>
    <row r="14" spans="1:32" ht="24.95" customHeight="1" x14ac:dyDescent="0.3">
      <c r="A14" s="142"/>
      <c r="B14" s="1" t="s">
        <v>7</v>
      </c>
      <c r="C14" s="1">
        <f t="shared" si="6"/>
        <v>8</v>
      </c>
      <c r="D14" s="1">
        <v>16</v>
      </c>
      <c r="E14" s="3"/>
      <c r="F14" s="4">
        <f t="shared" si="0"/>
        <v>0</v>
      </c>
      <c r="G14" s="4">
        <f t="shared" si="1"/>
        <v>0</v>
      </c>
      <c r="H14" s="6" t="str">
        <f t="shared" si="7"/>
        <v/>
      </c>
      <c r="L14" s="142"/>
      <c r="M14" s="1" t="s">
        <v>7</v>
      </c>
      <c r="N14" s="20">
        <f t="shared" si="8"/>
        <v>5.333333333333333</v>
      </c>
      <c r="O14" s="19">
        <f t="shared" si="9"/>
        <v>10.666666666666666</v>
      </c>
      <c r="P14" s="4" t="str">
        <f t="shared" si="10"/>
        <v/>
      </c>
      <c r="Q14" s="4">
        <f t="shared" si="2"/>
        <v>0</v>
      </c>
      <c r="R14" s="4">
        <f t="shared" si="3"/>
        <v>0</v>
      </c>
      <c r="S14" s="6" t="str">
        <f t="shared" si="11"/>
        <v/>
      </c>
      <c r="W14" s="142"/>
      <c r="X14" s="1" t="s">
        <v>7</v>
      </c>
      <c r="Y14" s="22">
        <f t="shared" si="12"/>
        <v>4</v>
      </c>
      <c r="Z14" s="21">
        <f t="shared" si="13"/>
        <v>8</v>
      </c>
      <c r="AA14" s="4" t="str">
        <f t="shared" si="14"/>
        <v/>
      </c>
      <c r="AB14" s="4">
        <f t="shared" si="4"/>
        <v>0</v>
      </c>
      <c r="AC14" s="4">
        <f t="shared" si="5"/>
        <v>0</v>
      </c>
      <c r="AD14" s="6" t="str">
        <f t="shared" si="15"/>
        <v/>
      </c>
    </row>
    <row r="15" spans="1:32" ht="24.95" customHeight="1" x14ac:dyDescent="0.3">
      <c r="A15" s="142" t="s">
        <v>11</v>
      </c>
      <c r="B15" s="1" t="s">
        <v>8</v>
      </c>
      <c r="C15" s="1">
        <f t="shared" si="6"/>
        <v>30</v>
      </c>
      <c r="D15" s="1">
        <v>60</v>
      </c>
      <c r="E15" s="3"/>
      <c r="F15" s="4">
        <f t="shared" si="0"/>
        <v>0</v>
      </c>
      <c r="G15" s="4">
        <f t="shared" si="1"/>
        <v>0</v>
      </c>
      <c r="H15" s="6" t="str">
        <f t="shared" si="7"/>
        <v/>
      </c>
      <c r="L15" s="142" t="s">
        <v>11</v>
      </c>
      <c r="M15" s="1" t="s">
        <v>8</v>
      </c>
      <c r="N15" s="20">
        <f t="shared" si="8"/>
        <v>20</v>
      </c>
      <c r="O15" s="19">
        <f t="shared" si="9"/>
        <v>40</v>
      </c>
      <c r="P15" s="4" t="str">
        <f t="shared" si="10"/>
        <v/>
      </c>
      <c r="Q15" s="4">
        <f t="shared" si="2"/>
        <v>0</v>
      </c>
      <c r="R15" s="4">
        <f t="shared" si="3"/>
        <v>0</v>
      </c>
      <c r="S15" s="6" t="str">
        <f t="shared" si="11"/>
        <v/>
      </c>
      <c r="W15" s="142" t="s">
        <v>11</v>
      </c>
      <c r="X15" s="1" t="s">
        <v>8</v>
      </c>
      <c r="Y15" s="22">
        <f t="shared" si="12"/>
        <v>15</v>
      </c>
      <c r="Z15" s="21">
        <f t="shared" si="13"/>
        <v>30</v>
      </c>
      <c r="AA15" s="4" t="str">
        <f t="shared" si="14"/>
        <v/>
      </c>
      <c r="AB15" s="4">
        <f t="shared" si="4"/>
        <v>0</v>
      </c>
      <c r="AC15" s="4">
        <f t="shared" si="5"/>
        <v>0</v>
      </c>
      <c r="AD15" s="6" t="str">
        <f t="shared" si="15"/>
        <v/>
      </c>
    </row>
    <row r="16" spans="1:32" ht="24.95" customHeight="1" x14ac:dyDescent="0.3">
      <c r="A16" s="142"/>
      <c r="B16" s="1" t="s">
        <v>12</v>
      </c>
      <c r="C16" s="1">
        <f t="shared" si="6"/>
        <v>24</v>
      </c>
      <c r="D16" s="1">
        <v>48</v>
      </c>
      <c r="E16" s="3"/>
      <c r="F16" s="4">
        <f t="shared" si="0"/>
        <v>0</v>
      </c>
      <c r="G16" s="4">
        <f t="shared" si="1"/>
        <v>0</v>
      </c>
      <c r="H16" s="6" t="str">
        <f t="shared" si="7"/>
        <v/>
      </c>
      <c r="L16" s="142"/>
      <c r="M16" s="1" t="s">
        <v>12</v>
      </c>
      <c r="N16" s="20">
        <f t="shared" si="8"/>
        <v>16</v>
      </c>
      <c r="O16" s="19">
        <f t="shared" si="9"/>
        <v>32</v>
      </c>
      <c r="P16" s="4" t="str">
        <f t="shared" si="10"/>
        <v/>
      </c>
      <c r="Q16" s="4">
        <f t="shared" si="2"/>
        <v>0</v>
      </c>
      <c r="R16" s="4">
        <f t="shared" si="3"/>
        <v>0</v>
      </c>
      <c r="S16" s="6" t="str">
        <f t="shared" si="11"/>
        <v/>
      </c>
      <c r="W16" s="142"/>
      <c r="X16" s="1" t="s">
        <v>12</v>
      </c>
      <c r="Y16" s="22">
        <f t="shared" si="12"/>
        <v>12</v>
      </c>
      <c r="Z16" s="21">
        <f t="shared" si="13"/>
        <v>24</v>
      </c>
      <c r="AA16" s="4" t="str">
        <f t="shared" si="14"/>
        <v/>
      </c>
      <c r="AB16" s="4">
        <f t="shared" si="4"/>
        <v>0</v>
      </c>
      <c r="AC16" s="4">
        <f t="shared" si="5"/>
        <v>0</v>
      </c>
      <c r="AD16" s="6" t="str">
        <f t="shared" si="15"/>
        <v/>
      </c>
    </row>
    <row r="17" spans="1:30" ht="24.95" customHeight="1" x14ac:dyDescent="0.3">
      <c r="A17" s="142"/>
      <c r="B17" s="1" t="s">
        <v>13</v>
      </c>
      <c r="C17" s="1">
        <f t="shared" si="6"/>
        <v>24</v>
      </c>
      <c r="D17" s="1">
        <v>48</v>
      </c>
      <c r="E17" s="3"/>
      <c r="F17" s="4">
        <f t="shared" si="0"/>
        <v>0</v>
      </c>
      <c r="G17" s="4">
        <f t="shared" si="1"/>
        <v>0</v>
      </c>
      <c r="H17" s="6" t="str">
        <f t="shared" si="7"/>
        <v/>
      </c>
      <c r="L17" s="142"/>
      <c r="M17" s="1" t="s">
        <v>13</v>
      </c>
      <c r="N17" s="20">
        <f t="shared" si="8"/>
        <v>16</v>
      </c>
      <c r="O17" s="19">
        <f t="shared" si="9"/>
        <v>32</v>
      </c>
      <c r="P17" s="4" t="str">
        <f t="shared" si="10"/>
        <v/>
      </c>
      <c r="Q17" s="4">
        <f t="shared" si="2"/>
        <v>0</v>
      </c>
      <c r="R17" s="4">
        <f t="shared" si="3"/>
        <v>0</v>
      </c>
      <c r="S17" s="6" t="str">
        <f t="shared" si="11"/>
        <v/>
      </c>
      <c r="W17" s="142"/>
      <c r="X17" s="1" t="s">
        <v>13</v>
      </c>
      <c r="Y17" s="22">
        <f t="shared" si="12"/>
        <v>12</v>
      </c>
      <c r="Z17" s="21">
        <f t="shared" si="13"/>
        <v>24</v>
      </c>
      <c r="AA17" s="4" t="str">
        <f t="shared" si="14"/>
        <v/>
      </c>
      <c r="AB17" s="4">
        <f t="shared" si="4"/>
        <v>0</v>
      </c>
      <c r="AC17" s="4">
        <f t="shared" si="5"/>
        <v>0</v>
      </c>
      <c r="AD17" s="6" t="str">
        <f t="shared" si="15"/>
        <v/>
      </c>
    </row>
    <row r="18" spans="1:30" ht="24.95" customHeight="1" x14ac:dyDescent="0.3">
      <c r="A18" s="2" t="s">
        <v>22</v>
      </c>
      <c r="B18" s="1" t="s">
        <v>14</v>
      </c>
      <c r="C18" s="1">
        <f t="shared" si="6"/>
        <v>37.5</v>
      </c>
      <c r="D18" s="1">
        <v>75</v>
      </c>
      <c r="E18" s="3"/>
      <c r="F18" s="4">
        <f t="shared" si="0"/>
        <v>0</v>
      </c>
      <c r="G18" s="4">
        <f t="shared" si="1"/>
        <v>0</v>
      </c>
      <c r="H18" s="6" t="str">
        <f t="shared" si="7"/>
        <v/>
      </c>
      <c r="L18" s="2" t="s">
        <v>22</v>
      </c>
      <c r="M18" s="1" t="s">
        <v>14</v>
      </c>
      <c r="N18" s="20">
        <f t="shared" si="8"/>
        <v>25</v>
      </c>
      <c r="O18" s="19">
        <f t="shared" si="9"/>
        <v>50</v>
      </c>
      <c r="P18" s="4" t="str">
        <f t="shared" si="10"/>
        <v/>
      </c>
      <c r="Q18" s="4">
        <f t="shared" si="2"/>
        <v>0</v>
      </c>
      <c r="R18" s="4">
        <f t="shared" si="3"/>
        <v>0</v>
      </c>
      <c r="S18" s="6" t="str">
        <f t="shared" si="11"/>
        <v/>
      </c>
      <c r="W18" s="2" t="s">
        <v>22</v>
      </c>
      <c r="X18" s="1" t="s">
        <v>14</v>
      </c>
      <c r="Y18" s="22">
        <f t="shared" si="12"/>
        <v>18.75</v>
      </c>
      <c r="Z18" s="21">
        <f t="shared" si="13"/>
        <v>37.5</v>
      </c>
      <c r="AA18" s="4" t="str">
        <f t="shared" si="14"/>
        <v/>
      </c>
      <c r="AB18" s="4">
        <f t="shared" si="4"/>
        <v>0</v>
      </c>
      <c r="AC18" s="4">
        <f t="shared" si="5"/>
        <v>0</v>
      </c>
      <c r="AD18" s="6" t="str">
        <f t="shared" si="15"/>
        <v/>
      </c>
    </row>
    <row r="19" spans="1:30" ht="24.95" customHeight="1" x14ac:dyDescent="0.3">
      <c r="A19" s="2" t="s">
        <v>23</v>
      </c>
      <c r="B19" s="1" t="s">
        <v>15</v>
      </c>
      <c r="C19" s="1">
        <f t="shared" si="6"/>
        <v>24</v>
      </c>
      <c r="D19" s="1">
        <v>48</v>
      </c>
      <c r="E19" s="3"/>
      <c r="F19" s="4">
        <f t="shared" si="0"/>
        <v>0</v>
      </c>
      <c r="G19" s="4">
        <f t="shared" si="1"/>
        <v>0</v>
      </c>
      <c r="H19" s="6" t="str">
        <f t="shared" si="7"/>
        <v/>
      </c>
      <c r="L19" s="2" t="s">
        <v>23</v>
      </c>
      <c r="M19" s="1" t="s">
        <v>15</v>
      </c>
      <c r="N19" s="20">
        <f t="shared" si="8"/>
        <v>16</v>
      </c>
      <c r="O19" s="19">
        <f t="shared" si="9"/>
        <v>32</v>
      </c>
      <c r="P19" s="4" t="str">
        <f t="shared" si="10"/>
        <v/>
      </c>
      <c r="Q19" s="4">
        <f t="shared" si="2"/>
        <v>0</v>
      </c>
      <c r="R19" s="4">
        <f t="shared" si="3"/>
        <v>0</v>
      </c>
      <c r="S19" s="6" t="str">
        <f t="shared" si="11"/>
        <v/>
      </c>
      <c r="W19" s="2" t="s">
        <v>23</v>
      </c>
      <c r="X19" s="1" t="s">
        <v>15</v>
      </c>
      <c r="Y19" s="22">
        <f t="shared" si="12"/>
        <v>12</v>
      </c>
      <c r="Z19" s="21">
        <f t="shared" si="13"/>
        <v>24</v>
      </c>
      <c r="AA19" s="4" t="str">
        <f t="shared" si="14"/>
        <v/>
      </c>
      <c r="AB19" s="4">
        <f t="shared" si="4"/>
        <v>0</v>
      </c>
      <c r="AC19" s="4">
        <f t="shared" si="5"/>
        <v>0</v>
      </c>
      <c r="AD19" s="6" t="str">
        <f t="shared" si="15"/>
        <v/>
      </c>
    </row>
    <row r="20" spans="1:30" ht="24.95" customHeight="1" x14ac:dyDescent="0.3">
      <c r="A20" s="142" t="s">
        <v>24</v>
      </c>
      <c r="B20" s="1" t="s">
        <v>16</v>
      </c>
      <c r="C20" s="1">
        <f t="shared" si="6"/>
        <v>45</v>
      </c>
      <c r="D20" s="1">
        <v>90</v>
      </c>
      <c r="E20" s="3"/>
      <c r="F20" s="4">
        <f t="shared" si="0"/>
        <v>0</v>
      </c>
      <c r="G20" s="4">
        <f t="shared" si="1"/>
        <v>0</v>
      </c>
      <c r="H20" s="6" t="str">
        <f t="shared" si="7"/>
        <v/>
      </c>
      <c r="L20" s="142" t="s">
        <v>24</v>
      </c>
      <c r="M20" s="1" t="s">
        <v>16</v>
      </c>
      <c r="N20" s="20">
        <f t="shared" si="8"/>
        <v>30</v>
      </c>
      <c r="O20" s="19">
        <f t="shared" si="9"/>
        <v>60</v>
      </c>
      <c r="P20" s="4" t="str">
        <f t="shared" si="10"/>
        <v/>
      </c>
      <c r="Q20" s="4">
        <f t="shared" si="2"/>
        <v>0</v>
      </c>
      <c r="R20" s="4">
        <f t="shared" si="3"/>
        <v>0</v>
      </c>
      <c r="S20" s="6" t="str">
        <f t="shared" si="11"/>
        <v/>
      </c>
      <c r="W20" s="142" t="s">
        <v>24</v>
      </c>
      <c r="X20" s="1" t="s">
        <v>16</v>
      </c>
      <c r="Y20" s="22">
        <f t="shared" si="12"/>
        <v>22.5</v>
      </c>
      <c r="Z20" s="21">
        <f t="shared" si="13"/>
        <v>45</v>
      </c>
      <c r="AA20" s="4" t="str">
        <f t="shared" si="14"/>
        <v/>
      </c>
      <c r="AB20" s="4">
        <f t="shared" si="4"/>
        <v>0</v>
      </c>
      <c r="AC20" s="4">
        <f t="shared" si="5"/>
        <v>0</v>
      </c>
      <c r="AD20" s="6" t="str">
        <f t="shared" si="15"/>
        <v/>
      </c>
    </row>
    <row r="21" spans="1:30" ht="24.95" customHeight="1" x14ac:dyDescent="0.3">
      <c r="A21" s="142"/>
      <c r="B21" s="1" t="s">
        <v>25</v>
      </c>
      <c r="C21" s="1">
        <f t="shared" si="6"/>
        <v>15</v>
      </c>
      <c r="D21" s="1">
        <v>30</v>
      </c>
      <c r="E21" s="3"/>
      <c r="F21" s="4">
        <f t="shared" si="0"/>
        <v>0</v>
      </c>
      <c r="G21" s="4">
        <f t="shared" si="1"/>
        <v>0</v>
      </c>
      <c r="H21" s="6" t="str">
        <f t="shared" si="7"/>
        <v/>
      </c>
      <c r="L21" s="142"/>
      <c r="M21" s="1" t="s">
        <v>25</v>
      </c>
      <c r="N21" s="20">
        <f t="shared" si="8"/>
        <v>10</v>
      </c>
      <c r="O21" s="19">
        <f t="shared" si="9"/>
        <v>20</v>
      </c>
      <c r="P21" s="4" t="str">
        <f t="shared" si="10"/>
        <v/>
      </c>
      <c r="Q21" s="4">
        <f t="shared" si="2"/>
        <v>0</v>
      </c>
      <c r="R21" s="4">
        <f t="shared" si="3"/>
        <v>0</v>
      </c>
      <c r="S21" s="6" t="str">
        <f t="shared" si="11"/>
        <v/>
      </c>
      <c r="W21" s="142"/>
      <c r="X21" s="1" t="s">
        <v>25</v>
      </c>
      <c r="Y21" s="22">
        <f t="shared" si="12"/>
        <v>7.5</v>
      </c>
      <c r="Z21" s="21">
        <f t="shared" si="13"/>
        <v>15</v>
      </c>
      <c r="AA21" s="4" t="str">
        <f t="shared" si="14"/>
        <v/>
      </c>
      <c r="AB21" s="4">
        <f t="shared" si="4"/>
        <v>0</v>
      </c>
      <c r="AC21" s="4">
        <f t="shared" si="5"/>
        <v>0</v>
      </c>
      <c r="AD21" s="6" t="str">
        <f t="shared" si="15"/>
        <v/>
      </c>
    </row>
    <row r="22" spans="1:30" ht="24.95" customHeight="1" x14ac:dyDescent="0.3">
      <c r="A22" s="2" t="s">
        <v>26</v>
      </c>
      <c r="B22" s="1" t="s">
        <v>17</v>
      </c>
      <c r="C22" s="1">
        <f t="shared" si="6"/>
        <v>125</v>
      </c>
      <c r="D22" s="1">
        <v>250</v>
      </c>
      <c r="E22" s="3"/>
      <c r="F22" s="4">
        <f t="shared" si="0"/>
        <v>0</v>
      </c>
      <c r="G22" s="4">
        <f t="shared" si="1"/>
        <v>0</v>
      </c>
      <c r="H22" s="6" t="str">
        <f t="shared" si="7"/>
        <v/>
      </c>
      <c r="L22" s="2" t="s">
        <v>26</v>
      </c>
      <c r="M22" s="1" t="s">
        <v>17</v>
      </c>
      <c r="N22" s="20">
        <f t="shared" si="8"/>
        <v>83.333333333333329</v>
      </c>
      <c r="O22" s="19">
        <f t="shared" si="9"/>
        <v>166.66666666666666</v>
      </c>
      <c r="P22" s="4" t="str">
        <f t="shared" si="10"/>
        <v/>
      </c>
      <c r="Q22" s="4">
        <f t="shared" si="2"/>
        <v>0</v>
      </c>
      <c r="R22" s="4">
        <f t="shared" si="3"/>
        <v>0</v>
      </c>
      <c r="S22" s="6" t="str">
        <f t="shared" si="11"/>
        <v/>
      </c>
      <c r="W22" s="2" t="s">
        <v>26</v>
      </c>
      <c r="X22" s="1" t="s">
        <v>17</v>
      </c>
      <c r="Y22" s="22">
        <f t="shared" si="12"/>
        <v>62.5</v>
      </c>
      <c r="Z22" s="21">
        <f t="shared" si="13"/>
        <v>125</v>
      </c>
      <c r="AA22" s="4" t="str">
        <f t="shared" si="14"/>
        <v/>
      </c>
      <c r="AB22" s="4">
        <f t="shared" si="4"/>
        <v>0</v>
      </c>
      <c r="AC22" s="4">
        <f t="shared" si="5"/>
        <v>0</v>
      </c>
      <c r="AD22" s="6" t="str">
        <f t="shared" si="15"/>
        <v/>
      </c>
    </row>
    <row r="23" spans="1:30" ht="24.95" customHeight="1" x14ac:dyDescent="0.3">
      <c r="A23" s="2" t="s">
        <v>27</v>
      </c>
      <c r="B23" s="1" t="s">
        <v>18</v>
      </c>
      <c r="C23" s="1">
        <f>D23/5</f>
        <v>30</v>
      </c>
      <c r="D23" s="1">
        <v>150</v>
      </c>
      <c r="E23" s="3"/>
      <c r="F23" s="4">
        <f t="shared" si="0"/>
        <v>0</v>
      </c>
      <c r="G23" s="4">
        <f t="shared" si="1"/>
        <v>0</v>
      </c>
      <c r="H23" s="6" t="str">
        <f t="shared" si="7"/>
        <v/>
      </c>
      <c r="L23" s="2" t="s">
        <v>27</v>
      </c>
      <c r="M23" s="1" t="s">
        <v>18</v>
      </c>
      <c r="N23" s="20">
        <f>O23/5</f>
        <v>20</v>
      </c>
      <c r="O23" s="19">
        <f t="shared" si="9"/>
        <v>100</v>
      </c>
      <c r="P23" s="4" t="str">
        <f t="shared" si="10"/>
        <v/>
      </c>
      <c r="Q23" s="4">
        <f t="shared" si="2"/>
        <v>0</v>
      </c>
      <c r="R23" s="4">
        <f t="shared" si="3"/>
        <v>0</v>
      </c>
      <c r="S23" s="6" t="str">
        <f t="shared" si="11"/>
        <v/>
      </c>
      <c r="W23" s="2" t="s">
        <v>27</v>
      </c>
      <c r="X23" s="1" t="s">
        <v>18</v>
      </c>
      <c r="Y23" s="22">
        <f>Z23/5</f>
        <v>15</v>
      </c>
      <c r="Z23" s="21">
        <f t="shared" si="13"/>
        <v>75</v>
      </c>
      <c r="AA23" s="4" t="str">
        <f t="shared" si="14"/>
        <v/>
      </c>
      <c r="AB23" s="4">
        <f t="shared" si="4"/>
        <v>0</v>
      </c>
      <c r="AC23" s="4">
        <f t="shared" si="5"/>
        <v>0</v>
      </c>
      <c r="AD23" s="6" t="str">
        <f t="shared" si="15"/>
        <v/>
      </c>
    </row>
    <row r="24" spans="1:30" ht="24.95" customHeight="1" x14ac:dyDescent="0.3">
      <c r="A24" s="138" t="s">
        <v>28</v>
      </c>
      <c r="B24" s="1" t="s">
        <v>19</v>
      </c>
      <c r="C24" s="1">
        <f t="shared" si="6"/>
        <v>12.5</v>
      </c>
      <c r="D24" s="1">
        <v>25</v>
      </c>
      <c r="E24" s="3"/>
      <c r="F24" s="4">
        <f t="shared" si="0"/>
        <v>0</v>
      </c>
      <c r="G24" s="4">
        <f t="shared" si="1"/>
        <v>0</v>
      </c>
      <c r="H24" s="6" t="str">
        <f t="shared" si="7"/>
        <v/>
      </c>
      <c r="L24" s="138" t="s">
        <v>28</v>
      </c>
      <c r="M24" s="1" t="s">
        <v>19</v>
      </c>
      <c r="N24" s="20">
        <f t="shared" si="8"/>
        <v>8.3333333333333321</v>
      </c>
      <c r="O24" s="19">
        <f t="shared" si="9"/>
        <v>16.666666666666664</v>
      </c>
      <c r="P24" s="4" t="str">
        <f t="shared" si="10"/>
        <v/>
      </c>
      <c r="Q24" s="4">
        <f t="shared" si="2"/>
        <v>0</v>
      </c>
      <c r="R24" s="4">
        <f t="shared" si="3"/>
        <v>0</v>
      </c>
      <c r="S24" s="6" t="str">
        <f t="shared" si="11"/>
        <v/>
      </c>
      <c r="W24" s="138" t="s">
        <v>28</v>
      </c>
      <c r="X24" s="1" t="s">
        <v>19</v>
      </c>
      <c r="Y24" s="22">
        <f t="shared" si="12"/>
        <v>6.25</v>
      </c>
      <c r="Z24" s="21">
        <f t="shared" si="13"/>
        <v>12.5</v>
      </c>
      <c r="AA24" s="4" t="str">
        <f t="shared" si="14"/>
        <v/>
      </c>
      <c r="AB24" s="4">
        <f t="shared" si="4"/>
        <v>0</v>
      </c>
      <c r="AC24" s="4">
        <f t="shared" si="5"/>
        <v>0</v>
      </c>
      <c r="AD24" s="6" t="str">
        <f t="shared" si="15"/>
        <v/>
      </c>
    </row>
    <row r="25" spans="1:30" ht="24.95" customHeight="1" x14ac:dyDescent="0.3">
      <c r="A25" s="138"/>
      <c r="B25" s="1" t="s">
        <v>20</v>
      </c>
      <c r="C25" s="1">
        <f t="shared" si="6"/>
        <v>6</v>
      </c>
      <c r="D25" s="1">
        <v>12</v>
      </c>
      <c r="E25" s="3"/>
      <c r="F25" s="4">
        <f t="shared" si="0"/>
        <v>0</v>
      </c>
      <c r="G25" s="4">
        <f t="shared" si="1"/>
        <v>0</v>
      </c>
      <c r="H25" s="6" t="str">
        <f t="shared" si="7"/>
        <v/>
      </c>
      <c r="L25" s="138"/>
      <c r="M25" s="1" t="s">
        <v>20</v>
      </c>
      <c r="N25" s="20">
        <f t="shared" si="8"/>
        <v>4</v>
      </c>
      <c r="O25" s="19">
        <f t="shared" si="9"/>
        <v>8</v>
      </c>
      <c r="P25" s="4" t="str">
        <f t="shared" si="10"/>
        <v/>
      </c>
      <c r="Q25" s="4">
        <f t="shared" si="2"/>
        <v>0</v>
      </c>
      <c r="R25" s="4">
        <f t="shared" si="3"/>
        <v>0</v>
      </c>
      <c r="S25" s="6" t="str">
        <f t="shared" si="11"/>
        <v/>
      </c>
      <c r="W25" s="138"/>
      <c r="X25" s="1" t="s">
        <v>20</v>
      </c>
      <c r="Y25" s="22">
        <f t="shared" si="12"/>
        <v>3</v>
      </c>
      <c r="Z25" s="21">
        <f t="shared" si="13"/>
        <v>6</v>
      </c>
      <c r="AA25" s="4" t="str">
        <f t="shared" si="14"/>
        <v/>
      </c>
      <c r="AB25" s="4">
        <f t="shared" si="4"/>
        <v>0</v>
      </c>
      <c r="AC25" s="4">
        <f t="shared" si="5"/>
        <v>0</v>
      </c>
      <c r="AD25" s="6" t="str">
        <f t="shared" si="15"/>
        <v/>
      </c>
    </row>
    <row r="26" spans="1:30" ht="24.95" customHeight="1" x14ac:dyDescent="0.3">
      <c r="A26" s="138"/>
      <c r="B26" s="1" t="s">
        <v>21</v>
      </c>
      <c r="C26" s="1">
        <f t="shared" si="6"/>
        <v>250</v>
      </c>
      <c r="D26" s="1">
        <v>500</v>
      </c>
      <c r="E26" s="3"/>
      <c r="F26" s="4">
        <f t="shared" si="0"/>
        <v>0</v>
      </c>
      <c r="G26" s="4">
        <f t="shared" si="1"/>
        <v>0</v>
      </c>
      <c r="H26" s="6" t="str">
        <f t="shared" si="7"/>
        <v/>
      </c>
      <c r="L26" s="138"/>
      <c r="M26" s="1" t="s">
        <v>21</v>
      </c>
      <c r="N26" s="20">
        <f t="shared" si="8"/>
        <v>166.66666666666666</v>
      </c>
      <c r="O26" s="19">
        <f t="shared" si="9"/>
        <v>333.33333333333331</v>
      </c>
      <c r="P26" s="4" t="str">
        <f t="shared" si="10"/>
        <v/>
      </c>
      <c r="Q26" s="4">
        <f t="shared" si="2"/>
        <v>0</v>
      </c>
      <c r="R26" s="4">
        <f>$F26*$D$3</f>
        <v>0</v>
      </c>
      <c r="S26" s="6" t="str">
        <f t="shared" si="11"/>
        <v/>
      </c>
      <c r="W26" s="138"/>
      <c r="X26" s="1" t="s">
        <v>21</v>
      </c>
      <c r="Y26" s="22">
        <f t="shared" si="12"/>
        <v>125</v>
      </c>
      <c r="Z26" s="21">
        <f t="shared" si="13"/>
        <v>250</v>
      </c>
      <c r="AA26" s="4" t="str">
        <f t="shared" si="14"/>
        <v/>
      </c>
      <c r="AB26" s="4">
        <f t="shared" si="4"/>
        <v>0</v>
      </c>
      <c r="AC26" s="4">
        <f>$F26*$D$3</f>
        <v>0</v>
      </c>
      <c r="AD26" s="6" t="str">
        <f t="shared" si="15"/>
        <v/>
      </c>
    </row>
    <row r="28" spans="1:30" ht="20.100000000000001" customHeight="1" x14ac:dyDescent="0.3">
      <c r="E28" s="142" t="s">
        <v>49</v>
      </c>
      <c r="F28" s="142"/>
      <c r="G28" s="142"/>
      <c r="H28" s="2" t="str">
        <f>IF((G7/D7)+(G8/D8)&lt;=1.5,"O","X")</f>
        <v>O</v>
      </c>
      <c r="P28" s="142" t="s">
        <v>49</v>
      </c>
      <c r="Q28" s="142"/>
      <c r="R28" s="142"/>
      <c r="S28" s="2" t="str">
        <f>IF((R7/O7)+(R8/O8)&lt;=1.5,"O","X")</f>
        <v>O</v>
      </c>
      <c r="AA28" s="142" t="s">
        <v>49</v>
      </c>
      <c r="AB28" s="142"/>
      <c r="AC28" s="142"/>
      <c r="AD28" s="2" t="str">
        <f>IF((AC7/Z7)+(AC8/Z8)&lt;=1.5,"O","X")</f>
        <v>O</v>
      </c>
    </row>
    <row r="29" spans="1:30" ht="20.100000000000001" customHeight="1" x14ac:dyDescent="0.3"/>
  </sheetData>
  <mergeCells count="21">
    <mergeCell ref="E28:G28"/>
    <mergeCell ref="P28:R28"/>
    <mergeCell ref="AA28:AC28"/>
    <mergeCell ref="W7:W8"/>
    <mergeCell ref="W9:W14"/>
    <mergeCell ref="W15:W17"/>
    <mergeCell ref="W20:W21"/>
    <mergeCell ref="W24:W26"/>
    <mergeCell ref="L24:L26"/>
    <mergeCell ref="A24:A26"/>
    <mergeCell ref="W3:X3"/>
    <mergeCell ref="L7:L8"/>
    <mergeCell ref="L9:L14"/>
    <mergeCell ref="L15:L17"/>
    <mergeCell ref="L20:L21"/>
    <mergeCell ref="L3:M3"/>
    <mergeCell ref="A3:B3"/>
    <mergeCell ref="A7:A8"/>
    <mergeCell ref="A9:A14"/>
    <mergeCell ref="A15:A17"/>
    <mergeCell ref="A20:A21"/>
  </mergeCells>
  <phoneticPr fontId="3" type="noConversion"/>
  <conditionalFormatting sqref="H7:H28">
    <cfRule type="containsText" dxfId="19" priority="13" operator="containsText" text="X">
      <formula>NOT(ISERROR(SEARCH("X",H7)))</formula>
    </cfRule>
  </conditionalFormatting>
  <conditionalFormatting sqref="S7:S26">
    <cfRule type="containsText" dxfId="18" priority="8" operator="containsText" text="X">
      <formula>NOT(ISERROR(SEARCH("X",S7)))</formula>
    </cfRule>
  </conditionalFormatting>
  <conditionalFormatting sqref="S28">
    <cfRule type="containsText" dxfId="17" priority="2" operator="containsText" text="X">
      <formula>NOT(ISERROR(SEARCH("X",S28)))</formula>
    </cfRule>
  </conditionalFormatting>
  <conditionalFormatting sqref="AD7:AD26">
    <cfRule type="containsText" dxfId="16" priority="7" operator="containsText" text="X">
      <formula>NOT(ISERROR(SEARCH("X",AD7)))</formula>
    </cfRule>
  </conditionalFormatting>
  <conditionalFormatting sqref="AD28">
    <cfRule type="containsText" dxfId="15" priority="1" operator="containsText" text="X">
      <formula>NOT(ISERROR(SEARCH("X",AD28)))</formula>
    </cfRule>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5"/>
  <sheetViews>
    <sheetView showGridLines="0" tabSelected="1" topLeftCell="I1" zoomScale="85" zoomScaleNormal="85" workbookViewId="0">
      <selection activeCell="AR5" sqref="AR5"/>
    </sheetView>
  </sheetViews>
  <sheetFormatPr defaultRowHeight="16.5" x14ac:dyDescent="0.3"/>
  <cols>
    <col min="1" max="1" width="5.625" customWidth="1"/>
    <col min="2" max="2" width="20" customWidth="1"/>
    <col min="3" max="7" width="7.625" customWidth="1"/>
    <col min="8" max="11" width="9.75" customWidth="1"/>
    <col min="12" max="12" width="9.125" customWidth="1"/>
    <col min="13" max="13" width="1.25" customWidth="1"/>
    <col min="14" max="14" width="1.25" style="14" customWidth="1"/>
    <col min="15" max="15" width="1.25" customWidth="1"/>
    <col min="16" max="16" width="5.625" customWidth="1"/>
    <col min="17" max="17" width="20.875" customWidth="1"/>
    <col min="18" max="26" width="7.625" customWidth="1"/>
    <col min="27" max="27" width="9.875" customWidth="1"/>
    <col min="28" max="28" width="1.25" customWidth="1"/>
    <col min="29" max="29" width="1.25" style="14" customWidth="1"/>
    <col min="30" max="30" width="1.25" customWidth="1"/>
    <col min="31" max="31" width="5.625" customWidth="1"/>
    <col min="32" max="32" width="19.625" customWidth="1"/>
    <col min="33" max="41" width="7.625" customWidth="1"/>
    <col min="42" max="42" width="9.875" customWidth="1"/>
    <col min="43" max="43" width="9.25" customWidth="1"/>
  </cols>
  <sheetData>
    <row r="1" spans="1:44" ht="52.5" customHeight="1" x14ac:dyDescent="0.3">
      <c r="A1" s="100" t="s">
        <v>119</v>
      </c>
      <c r="B1" s="101"/>
      <c r="C1" s="101"/>
      <c r="D1" s="101"/>
      <c r="E1" s="58"/>
      <c r="F1" s="58"/>
      <c r="G1" s="151" t="s">
        <v>177</v>
      </c>
      <c r="H1" s="143"/>
      <c r="I1" s="143"/>
      <c r="J1" s="143"/>
      <c r="K1" s="143"/>
      <c r="L1" s="143"/>
      <c r="U1" s="143"/>
      <c r="V1" s="143"/>
      <c r="W1" s="143"/>
      <c r="X1" s="143"/>
      <c r="Y1" s="143"/>
      <c r="Z1" s="57"/>
      <c r="AA1" s="57"/>
      <c r="AJ1" s="143"/>
      <c r="AK1" s="143"/>
      <c r="AL1" s="143"/>
      <c r="AM1" s="143"/>
      <c r="AN1" s="143"/>
      <c r="AO1" s="143"/>
      <c r="AP1" s="24"/>
      <c r="AQ1" s="24"/>
    </row>
    <row r="2" spans="1:44" ht="27" thickBot="1" x14ac:dyDescent="0.35">
      <c r="A2" s="18"/>
    </row>
    <row r="3" spans="1:44" s="54" customFormat="1" ht="19.5" customHeight="1" thickTop="1" x14ac:dyDescent="0.3">
      <c r="A3" s="64"/>
      <c r="B3" s="145" t="s">
        <v>37</v>
      </c>
      <c r="C3" s="61" t="s">
        <v>38</v>
      </c>
      <c r="D3" s="60">
        <v>1</v>
      </c>
      <c r="E3" s="61" t="s">
        <v>87</v>
      </c>
      <c r="F3" s="60">
        <v>3</v>
      </c>
      <c r="G3" s="62" t="s">
        <v>33</v>
      </c>
      <c r="H3" s="52"/>
      <c r="I3" s="52"/>
      <c r="J3" s="53"/>
      <c r="K3" s="53"/>
      <c r="L3" s="53"/>
      <c r="N3" s="55"/>
      <c r="P3" s="64"/>
      <c r="Q3" s="145" t="s">
        <v>37</v>
      </c>
      <c r="R3" s="61" t="s">
        <v>38</v>
      </c>
      <c r="S3" s="60">
        <v>1</v>
      </c>
      <c r="T3" s="61" t="s">
        <v>85</v>
      </c>
      <c r="U3" s="60">
        <v>3</v>
      </c>
      <c r="V3" s="62" t="s">
        <v>33</v>
      </c>
      <c r="W3" s="52"/>
      <c r="X3" s="52"/>
      <c r="Y3" s="53"/>
      <c r="Z3" s="53"/>
      <c r="AA3" s="53"/>
      <c r="AC3" s="55"/>
      <c r="AE3" s="64"/>
      <c r="AF3" s="145" t="s">
        <v>37</v>
      </c>
      <c r="AG3" s="61" t="s">
        <v>38</v>
      </c>
      <c r="AH3" s="60">
        <v>3</v>
      </c>
      <c r="AI3" s="61" t="s">
        <v>85</v>
      </c>
      <c r="AJ3" s="60">
        <v>3</v>
      </c>
      <c r="AK3" s="62" t="s">
        <v>33</v>
      </c>
      <c r="AL3" s="52"/>
      <c r="AM3" s="52"/>
      <c r="AN3" s="53"/>
      <c r="AO3" s="52"/>
    </row>
    <row r="4" spans="1:44" s="54" customFormat="1" ht="19.5" customHeight="1" x14ac:dyDescent="0.3">
      <c r="A4" s="64"/>
      <c r="B4" s="146"/>
      <c r="C4" s="52" t="s">
        <v>39</v>
      </c>
      <c r="D4" s="59">
        <v>1</v>
      </c>
      <c r="E4" s="52" t="s">
        <v>87</v>
      </c>
      <c r="F4" s="59">
        <v>2</v>
      </c>
      <c r="G4" s="63" t="s">
        <v>34</v>
      </c>
      <c r="H4" s="52"/>
      <c r="I4" s="52"/>
      <c r="J4" s="53"/>
      <c r="K4" s="53"/>
      <c r="L4" s="53"/>
      <c r="N4" s="55"/>
      <c r="P4" s="64"/>
      <c r="Q4" s="146"/>
      <c r="R4" s="52" t="s">
        <v>39</v>
      </c>
      <c r="S4" s="59">
        <v>1</v>
      </c>
      <c r="T4" s="52" t="s">
        <v>85</v>
      </c>
      <c r="U4" s="59">
        <v>1</v>
      </c>
      <c r="V4" s="63" t="s">
        <v>34</v>
      </c>
      <c r="W4" s="52"/>
      <c r="X4" s="52"/>
      <c r="Y4" s="53"/>
      <c r="Z4" s="53"/>
      <c r="AA4" s="53"/>
      <c r="AC4" s="55"/>
      <c r="AE4" s="64"/>
      <c r="AF4" s="146"/>
      <c r="AG4" s="52" t="s">
        <v>39</v>
      </c>
      <c r="AH4" s="59">
        <v>1</v>
      </c>
      <c r="AI4" s="52" t="s">
        <v>85</v>
      </c>
      <c r="AJ4" s="59">
        <v>1</v>
      </c>
      <c r="AK4" s="63" t="s">
        <v>34</v>
      </c>
      <c r="AL4" s="52"/>
      <c r="AM4" s="52"/>
      <c r="AN4" s="53"/>
      <c r="AO4" s="52"/>
    </row>
    <row r="5" spans="1:44" s="54" customFormat="1" ht="55.5" customHeight="1" thickBot="1" x14ac:dyDescent="0.35">
      <c r="A5" s="64"/>
      <c r="B5" s="147"/>
      <c r="C5" s="152" t="s">
        <v>131</v>
      </c>
      <c r="D5" s="153"/>
      <c r="E5" s="153"/>
      <c r="F5" s="153"/>
      <c r="G5" s="154"/>
      <c r="N5" s="55"/>
      <c r="P5" s="64"/>
      <c r="Q5" s="147"/>
      <c r="R5" s="152" t="s">
        <v>131</v>
      </c>
      <c r="S5" s="153"/>
      <c r="T5" s="153"/>
      <c r="U5" s="153"/>
      <c r="V5" s="154"/>
      <c r="AC5" s="55"/>
      <c r="AE5" s="64"/>
      <c r="AF5" s="147"/>
      <c r="AG5" s="152" t="s">
        <v>131</v>
      </c>
      <c r="AH5" s="153"/>
      <c r="AI5" s="153"/>
      <c r="AJ5" s="153"/>
      <c r="AK5" s="154"/>
    </row>
    <row r="6" spans="1:44" s="41" customFormat="1" ht="20.100000000000001" customHeight="1" thickTop="1" x14ac:dyDescent="0.3">
      <c r="A6" s="45"/>
      <c r="B6" s="45"/>
      <c r="C6" s="47"/>
      <c r="D6" s="47"/>
      <c r="E6" s="47"/>
      <c r="I6" s="47"/>
      <c r="N6" s="48"/>
      <c r="P6" s="45"/>
      <c r="Q6" s="45"/>
      <c r="R6" s="47"/>
      <c r="S6" s="47"/>
      <c r="T6" s="47"/>
      <c r="X6" s="47"/>
      <c r="AC6" s="48"/>
      <c r="AE6" s="45"/>
      <c r="AF6" s="45"/>
      <c r="AG6" s="47"/>
      <c r="AH6" s="47"/>
      <c r="AI6" s="47"/>
      <c r="AM6" s="47"/>
    </row>
    <row r="7" spans="1:44" s="41" customFormat="1" ht="33.75" customHeight="1" thickBot="1" x14ac:dyDescent="0.35">
      <c r="A7" s="173" t="s">
        <v>116</v>
      </c>
      <c r="B7" s="174"/>
      <c r="C7" s="42">
        <v>1</v>
      </c>
      <c r="D7" s="34"/>
      <c r="E7" s="34"/>
      <c r="N7" s="48"/>
      <c r="P7" s="173" t="s">
        <v>117</v>
      </c>
      <c r="Q7" s="174"/>
      <c r="R7" s="43">
        <v>0.66666666666666663</v>
      </c>
      <c r="S7" s="34"/>
      <c r="T7" s="34"/>
      <c r="AC7" s="48"/>
      <c r="AE7" s="173" t="s">
        <v>118</v>
      </c>
      <c r="AF7" s="173"/>
      <c r="AG7" s="43">
        <v>0.5</v>
      </c>
      <c r="AH7" s="34"/>
      <c r="AI7" s="34"/>
      <c r="AJ7" s="37"/>
      <c r="AQ7" s="44"/>
    </row>
    <row r="8" spans="1:44" s="41" customFormat="1" ht="23.25" customHeight="1" thickTop="1" x14ac:dyDescent="0.3">
      <c r="A8" s="149" t="s">
        <v>80</v>
      </c>
      <c r="B8" s="149" t="s">
        <v>36</v>
      </c>
      <c r="C8" s="149" t="s">
        <v>106</v>
      </c>
      <c r="D8" s="149"/>
      <c r="E8" s="149"/>
      <c r="F8" s="149"/>
      <c r="G8" s="148" t="s">
        <v>60</v>
      </c>
      <c r="H8" s="149" t="s">
        <v>121</v>
      </c>
      <c r="I8" s="149"/>
      <c r="J8" s="149"/>
      <c r="K8" s="150"/>
      <c r="L8" s="175" t="s">
        <v>44</v>
      </c>
      <c r="N8" s="48"/>
      <c r="P8" s="149" t="s">
        <v>80</v>
      </c>
      <c r="Q8" s="149" t="s">
        <v>36</v>
      </c>
      <c r="R8" s="149" t="s">
        <v>106</v>
      </c>
      <c r="S8" s="149"/>
      <c r="T8" s="149"/>
      <c r="U8" s="149"/>
      <c r="V8" s="148" t="s">
        <v>29</v>
      </c>
      <c r="W8" s="149" t="s">
        <v>121</v>
      </c>
      <c r="X8" s="149"/>
      <c r="Y8" s="149"/>
      <c r="Z8" s="150"/>
      <c r="AA8" s="175" t="s">
        <v>44</v>
      </c>
      <c r="AC8" s="48"/>
      <c r="AE8" s="149" t="s">
        <v>80</v>
      </c>
      <c r="AF8" s="149" t="s">
        <v>36</v>
      </c>
      <c r="AG8" s="149" t="s">
        <v>106</v>
      </c>
      <c r="AH8" s="149"/>
      <c r="AI8" s="149"/>
      <c r="AJ8" s="149"/>
      <c r="AK8" s="148" t="s">
        <v>29</v>
      </c>
      <c r="AL8" s="149" t="s">
        <v>121</v>
      </c>
      <c r="AM8" s="149"/>
      <c r="AN8" s="149"/>
      <c r="AO8" s="150"/>
      <c r="AP8" s="175" t="s">
        <v>44</v>
      </c>
      <c r="AQ8" s="44"/>
    </row>
    <row r="9" spans="1:44" s="41" customFormat="1" ht="27.75" customHeight="1" x14ac:dyDescent="0.3">
      <c r="A9" s="149"/>
      <c r="B9" s="149"/>
      <c r="C9" s="65" t="s">
        <v>102</v>
      </c>
      <c r="D9" s="65" t="s">
        <v>103</v>
      </c>
      <c r="E9" s="65" t="s">
        <v>104</v>
      </c>
      <c r="F9" s="65" t="s">
        <v>105</v>
      </c>
      <c r="G9" s="148"/>
      <c r="H9" s="65" t="s">
        <v>102</v>
      </c>
      <c r="I9" s="65" t="s">
        <v>108</v>
      </c>
      <c r="J9" s="65" t="s">
        <v>104</v>
      </c>
      <c r="K9" s="73" t="s">
        <v>109</v>
      </c>
      <c r="L9" s="176"/>
      <c r="M9" s="34"/>
      <c r="N9" s="35"/>
      <c r="O9" s="36"/>
      <c r="P9" s="149"/>
      <c r="Q9" s="149"/>
      <c r="R9" s="65" t="s">
        <v>102</v>
      </c>
      <c r="S9" s="65" t="s">
        <v>103</v>
      </c>
      <c r="T9" s="65" t="s">
        <v>104</v>
      </c>
      <c r="U9" s="65" t="s">
        <v>105</v>
      </c>
      <c r="V9" s="148"/>
      <c r="W9" s="65" t="s">
        <v>107</v>
      </c>
      <c r="X9" s="65" t="s">
        <v>108</v>
      </c>
      <c r="Y9" s="65" t="s">
        <v>104</v>
      </c>
      <c r="Z9" s="73" t="s">
        <v>109</v>
      </c>
      <c r="AA9" s="176"/>
      <c r="AB9" s="34"/>
      <c r="AC9" s="35"/>
      <c r="AD9" s="36"/>
      <c r="AE9" s="149"/>
      <c r="AF9" s="149"/>
      <c r="AG9" s="65" t="s">
        <v>102</v>
      </c>
      <c r="AH9" s="65" t="s">
        <v>103</v>
      </c>
      <c r="AI9" s="65" t="s">
        <v>104</v>
      </c>
      <c r="AJ9" s="65" t="s">
        <v>105</v>
      </c>
      <c r="AK9" s="148"/>
      <c r="AL9" s="65" t="s">
        <v>107</v>
      </c>
      <c r="AM9" s="65" t="s">
        <v>108</v>
      </c>
      <c r="AN9" s="65" t="s">
        <v>104</v>
      </c>
      <c r="AO9" s="73" t="s">
        <v>109</v>
      </c>
      <c r="AP9" s="176"/>
      <c r="AQ9" s="56"/>
      <c r="AR9" s="49"/>
    </row>
    <row r="10" spans="1:44" s="45" customFormat="1" ht="24.95" customHeight="1" x14ac:dyDescent="0.3">
      <c r="A10" s="144" t="s">
        <v>9</v>
      </c>
      <c r="B10" s="66" t="s">
        <v>59</v>
      </c>
      <c r="C10" s="66">
        <f>IF(COUNTA($G$10:$G$11)&gt;1,D10/5,D10/2)</f>
        <v>250</v>
      </c>
      <c r="D10" s="66">
        <v>500</v>
      </c>
      <c r="E10" s="67"/>
      <c r="F10" s="66">
        <v>1500</v>
      </c>
      <c r="G10" s="68"/>
      <c r="H10" s="66" t="str">
        <f>IF($G10,$G10*$D$4,"-")</f>
        <v>-</v>
      </c>
      <c r="I10" s="66" t="str">
        <f>IF($G10,$G10*$F$4,"-")</f>
        <v>-</v>
      </c>
      <c r="J10" s="66" t="str">
        <f>IF($G10,$G10*$D$4*$D$3,"-")</f>
        <v>-</v>
      </c>
      <c r="K10" s="74" t="str">
        <f>IF($G10,$G10*$F$4*$F$3,"-")</f>
        <v>-</v>
      </c>
      <c r="L10" s="75" t="str">
        <f>IF(G10="","",IF((C10&lt;=H10)*(E10&lt;=J10)*(D10&gt;=I10)*(F10&gt;=K10),"O","X"))</f>
        <v/>
      </c>
      <c r="N10" s="50"/>
      <c r="P10" s="144" t="s">
        <v>9</v>
      </c>
      <c r="Q10" s="66" t="str">
        <f>B10</f>
        <v>아세트아미노펜</v>
      </c>
      <c r="R10" s="134">
        <f>C10*$R$7</f>
        <v>166.66666666666666</v>
      </c>
      <c r="S10" s="134">
        <f t="shared" ref="S10:S15" si="0">D10*$R$7</f>
        <v>333.33333333333331</v>
      </c>
      <c r="T10" s="135"/>
      <c r="U10" s="134">
        <f t="shared" ref="U10:U24" si="1">F10*$R$7</f>
        <v>1000</v>
      </c>
      <c r="V10" s="78" t="str">
        <f>IF($G10="","",$G10)</f>
        <v/>
      </c>
      <c r="W10" s="66" t="str">
        <f t="shared" ref="W10:W26" si="2">IF($V10&lt;&gt;"",$S$4*$V10,"-")</f>
        <v>-</v>
      </c>
      <c r="X10" s="66" t="str">
        <f t="shared" ref="X10:X26" si="3">IF($V10&lt;&gt;"",$U$4*$V10,"-")</f>
        <v>-</v>
      </c>
      <c r="Y10" s="66" t="str">
        <f t="shared" ref="Y10:Y26" si="4">IF($V10&lt;&gt;"",$S$3*$S$4*$V10,"-")</f>
        <v>-</v>
      </c>
      <c r="Z10" s="74" t="str">
        <f t="shared" ref="Z10:Z26" si="5">IF($V10&lt;&gt;"",$U$3*$U$4*$V10,"-")</f>
        <v>-</v>
      </c>
      <c r="AA10" s="75" t="str">
        <f>IF(V10="","",IF((R10&lt;=W10)*(T10&lt;=Y10)*(S10&gt;=X10)*(U10&gt;=Z10),"O","X"))</f>
        <v/>
      </c>
      <c r="AC10" s="50"/>
      <c r="AE10" s="144" t="s">
        <v>9</v>
      </c>
      <c r="AF10" s="66" t="str">
        <f>B10</f>
        <v>아세트아미노펜</v>
      </c>
      <c r="AG10" s="134">
        <f>C10*$AG$7</f>
        <v>125</v>
      </c>
      <c r="AH10" s="134">
        <f t="shared" ref="AH10:AH15" si="6">D10*$AG$7</f>
        <v>250</v>
      </c>
      <c r="AI10" s="135"/>
      <c r="AJ10" s="134">
        <f t="shared" ref="AJ10:AJ24" si="7">F10*$AG$7</f>
        <v>750</v>
      </c>
      <c r="AK10" s="78" t="str">
        <f>IF($G10="","",$G10)</f>
        <v/>
      </c>
      <c r="AL10" s="66" t="str">
        <f t="shared" ref="AL10:AL26" si="8">IF($AK10&lt;&gt;"",$AH$4*$AK10,"-")</f>
        <v>-</v>
      </c>
      <c r="AM10" s="66" t="str">
        <f t="shared" ref="AM10:AM26" si="9">IF($AK10&lt;&gt;"",$AJ$4*$AK10,"-")</f>
        <v>-</v>
      </c>
      <c r="AN10" s="66" t="str">
        <f>IF($AK10&lt;&gt;"",$AH$4*$AK10*$AH$3,"-")</f>
        <v>-</v>
      </c>
      <c r="AO10" s="74" t="str">
        <f t="shared" ref="AO10:AO26" si="10">IF($AK10&lt;&gt;"",$AJ$4*$AK10*$AJ$3,"-")</f>
        <v>-</v>
      </c>
      <c r="AP10" s="75" t="str">
        <f>IF(AK10="","",IF((AG10&lt;=AL10)*(AI10&lt;=AN10)*(AH10&gt;=AM10)*(AJ10&gt;=AO10),"O","X"))</f>
        <v/>
      </c>
      <c r="AQ10" s="44"/>
      <c r="AR10" s="44"/>
    </row>
    <row r="11" spans="1:44" s="45" customFormat="1" ht="24.95" customHeight="1" x14ac:dyDescent="0.3">
      <c r="A11" s="144"/>
      <c r="B11" s="66" t="s">
        <v>61</v>
      </c>
      <c r="C11" s="66">
        <f>IF(COUNTA($G$10:$G$11)&gt;1,D11/5,D11/2)</f>
        <v>250</v>
      </c>
      <c r="D11" s="66">
        <v>500</v>
      </c>
      <c r="E11" s="67"/>
      <c r="F11" s="66">
        <v>1500</v>
      </c>
      <c r="G11" s="68"/>
      <c r="H11" s="66" t="str">
        <f>IF($G11,$G11*$D$4,"-")</f>
        <v>-</v>
      </c>
      <c r="I11" s="66" t="str">
        <f>IF($G11,$G11*$F$4,"-")</f>
        <v>-</v>
      </c>
      <c r="J11" s="66" t="str">
        <f>IF($G11,$G11*$D$4*$D$3,"-")</f>
        <v>-</v>
      </c>
      <c r="K11" s="74" t="str">
        <f t="shared" ref="K11:K26" si="11">IF($G11,$G11*$F$4*$F$3,"-")</f>
        <v>-</v>
      </c>
      <c r="L11" s="75" t="str">
        <f>IF(G11="","",IF(AND(C11&lt;=H11, E11&lt;=J11, D11&gt;=I11, F11&gt;=K11),"O","X"))</f>
        <v/>
      </c>
      <c r="N11" s="50"/>
      <c r="P11" s="144"/>
      <c r="Q11" s="66" t="str">
        <f t="shared" ref="Q11:Q22" si="12">B11</f>
        <v>에텐자미드</v>
      </c>
      <c r="R11" s="134">
        <f>C11*$R$7</f>
        <v>166.66666666666666</v>
      </c>
      <c r="S11" s="134">
        <f t="shared" si="0"/>
        <v>333.33333333333331</v>
      </c>
      <c r="T11" s="135"/>
      <c r="U11" s="134">
        <f t="shared" si="1"/>
        <v>1000</v>
      </c>
      <c r="V11" s="78" t="str">
        <f t="shared" ref="V11:V26" si="13">IF($G11="","",$G11)</f>
        <v/>
      </c>
      <c r="W11" s="66" t="str">
        <f t="shared" si="2"/>
        <v>-</v>
      </c>
      <c r="X11" s="66" t="str">
        <f t="shared" si="3"/>
        <v>-</v>
      </c>
      <c r="Y11" s="66" t="str">
        <f t="shared" si="4"/>
        <v>-</v>
      </c>
      <c r="Z11" s="74" t="str">
        <f t="shared" si="5"/>
        <v>-</v>
      </c>
      <c r="AA11" s="75" t="str">
        <f>IF(V11="","",IF(AND(R11&lt;=W11, T11&lt;=Y11, S11&gt;=X11, U11&gt;=Z11),"O","X"))</f>
        <v/>
      </c>
      <c r="AC11" s="50"/>
      <c r="AE11" s="144"/>
      <c r="AF11" s="66" t="str">
        <f t="shared" ref="AF11:AF26" si="14">B11</f>
        <v>에텐자미드</v>
      </c>
      <c r="AG11" s="134">
        <f>C11*$AG$7</f>
        <v>125</v>
      </c>
      <c r="AH11" s="134">
        <f t="shared" si="6"/>
        <v>250</v>
      </c>
      <c r="AI11" s="135"/>
      <c r="AJ11" s="134">
        <f t="shared" si="7"/>
        <v>750</v>
      </c>
      <c r="AK11" s="78" t="str">
        <f t="shared" ref="AK11:AK26" si="15">IF($G11="","",$G11)</f>
        <v/>
      </c>
      <c r="AL11" s="66" t="str">
        <f t="shared" si="8"/>
        <v>-</v>
      </c>
      <c r="AM11" s="66" t="str">
        <f t="shared" si="9"/>
        <v>-</v>
      </c>
      <c r="AN11" s="66" t="str">
        <f>IF($AK11&lt;&gt;"",$AH$4*$AK11*$AH$3,"-")</f>
        <v>-</v>
      </c>
      <c r="AO11" s="74" t="str">
        <f t="shared" si="10"/>
        <v>-</v>
      </c>
      <c r="AP11" s="75" t="str">
        <f>IF(AK11="","",IF(AND(AG11&lt;=AL11, AI11&lt;=AN11, AH11&gt;=AM11, AJ11&gt;=AO11),"O","X"))</f>
        <v/>
      </c>
      <c r="AQ11" s="44"/>
      <c r="AR11" s="44"/>
    </row>
    <row r="12" spans="1:44" s="45" customFormat="1" ht="24.95" customHeight="1" x14ac:dyDescent="0.3">
      <c r="A12" s="69" t="s">
        <v>10</v>
      </c>
      <c r="B12" s="66" t="s">
        <v>62</v>
      </c>
      <c r="C12" s="67"/>
      <c r="D12" s="66">
        <v>400</v>
      </c>
      <c r="E12" s="67"/>
      <c r="F12" s="66">
        <v>1200</v>
      </c>
      <c r="G12" s="68">
        <v>200</v>
      </c>
      <c r="H12" s="66">
        <f t="shared" ref="H12:H26" si="16">IF($G12,$G12*$D$4,"-")</f>
        <v>200</v>
      </c>
      <c r="I12" s="66">
        <f t="shared" ref="I12:I26" si="17">IF($G12,$G12*$F$4,"-")</f>
        <v>400</v>
      </c>
      <c r="J12" s="66">
        <f t="shared" ref="J12:J26" si="18">IF($G12,$G12*$D$4*$D$3,"-")</f>
        <v>200</v>
      </c>
      <c r="K12" s="74">
        <f t="shared" si="11"/>
        <v>1200</v>
      </c>
      <c r="L12" s="75" t="str">
        <f>IF(G12="","",IF(AND(D12&gt;=I12, F12&gt;=K12),"O","X"))</f>
        <v>O</v>
      </c>
      <c r="N12" s="50"/>
      <c r="P12" s="69" t="s">
        <v>10</v>
      </c>
      <c r="Q12" s="66" t="str">
        <f t="shared" si="12"/>
        <v>이부프로펜</v>
      </c>
      <c r="R12" s="135"/>
      <c r="S12" s="134">
        <f t="shared" si="0"/>
        <v>266.66666666666663</v>
      </c>
      <c r="T12" s="135"/>
      <c r="U12" s="134">
        <f t="shared" si="1"/>
        <v>800</v>
      </c>
      <c r="V12" s="78">
        <f t="shared" si="13"/>
        <v>200</v>
      </c>
      <c r="W12" s="66">
        <f t="shared" si="2"/>
        <v>200</v>
      </c>
      <c r="X12" s="66">
        <f t="shared" si="3"/>
        <v>200</v>
      </c>
      <c r="Y12" s="66">
        <f t="shared" si="4"/>
        <v>200</v>
      </c>
      <c r="Z12" s="74">
        <f t="shared" si="5"/>
        <v>600</v>
      </c>
      <c r="AA12" s="75" t="str">
        <f>IF(V12="","",IF(AND(S12&gt;=X12, U12&gt;=Z12),"O","X"))</f>
        <v>O</v>
      </c>
      <c r="AC12" s="50"/>
      <c r="AE12" s="69" t="s">
        <v>10</v>
      </c>
      <c r="AF12" s="66" t="str">
        <f t="shared" si="14"/>
        <v>이부프로펜</v>
      </c>
      <c r="AG12" s="135"/>
      <c r="AH12" s="134">
        <f t="shared" si="6"/>
        <v>200</v>
      </c>
      <c r="AI12" s="135"/>
      <c r="AJ12" s="134">
        <f t="shared" si="7"/>
        <v>600</v>
      </c>
      <c r="AK12" s="78">
        <f t="shared" si="15"/>
        <v>200</v>
      </c>
      <c r="AL12" s="66">
        <f t="shared" si="8"/>
        <v>200</v>
      </c>
      <c r="AM12" s="66">
        <f>IF($AK12&lt;&gt;"",$AJ$4*$AK12,"-")</f>
        <v>200</v>
      </c>
      <c r="AN12" s="66">
        <f>IF($AK12&lt;&gt;"",$AH$4*$AK12*$AH$3,"-")</f>
        <v>600</v>
      </c>
      <c r="AO12" s="74">
        <f t="shared" si="10"/>
        <v>600</v>
      </c>
      <c r="AP12" s="75" t="str">
        <f>IF(AK12="","",IF(AND(AH12&gt;=AM12, AJ12&gt;=AO12),"O","X"))</f>
        <v>O</v>
      </c>
      <c r="AQ12" s="34"/>
    </row>
    <row r="13" spans="1:44" s="45" customFormat="1" ht="24.95" customHeight="1" x14ac:dyDescent="0.3">
      <c r="A13" s="155" t="s">
        <v>68</v>
      </c>
      <c r="B13" s="66" t="s">
        <v>63</v>
      </c>
      <c r="C13" s="66">
        <f>D13/5</f>
        <v>10</v>
      </c>
      <c r="D13" s="66">
        <v>50</v>
      </c>
      <c r="E13" s="67"/>
      <c r="F13" s="66">
        <v>150</v>
      </c>
      <c r="G13" s="68"/>
      <c r="H13" s="66" t="str">
        <f t="shared" si="16"/>
        <v>-</v>
      </c>
      <c r="I13" s="66" t="str">
        <f t="shared" si="17"/>
        <v>-</v>
      </c>
      <c r="J13" s="66" t="str">
        <f t="shared" si="18"/>
        <v>-</v>
      </c>
      <c r="K13" s="74" t="str">
        <f t="shared" si="11"/>
        <v>-</v>
      </c>
      <c r="L13" s="75" t="str">
        <f>IF(G13="","",IF(AND(C13&lt;=H13, D13&gt;=I13, F13&gt;=K13),"O","X"))</f>
        <v/>
      </c>
      <c r="N13" s="50"/>
      <c r="P13" s="155" t="s">
        <v>11</v>
      </c>
      <c r="Q13" s="66" t="str">
        <f t="shared" si="12"/>
        <v>카페인수화물</v>
      </c>
      <c r="R13" s="134">
        <f>C13*$R$7</f>
        <v>6.6666666666666661</v>
      </c>
      <c r="S13" s="134">
        <f t="shared" si="0"/>
        <v>33.333333333333329</v>
      </c>
      <c r="T13" s="135"/>
      <c r="U13" s="134">
        <f t="shared" si="1"/>
        <v>100</v>
      </c>
      <c r="V13" s="78" t="str">
        <f t="shared" si="13"/>
        <v/>
      </c>
      <c r="W13" s="66" t="str">
        <f t="shared" si="2"/>
        <v>-</v>
      </c>
      <c r="X13" s="66" t="str">
        <f t="shared" si="3"/>
        <v>-</v>
      </c>
      <c r="Y13" s="66" t="str">
        <f t="shared" si="4"/>
        <v>-</v>
      </c>
      <c r="Z13" s="74" t="str">
        <f t="shared" si="5"/>
        <v>-</v>
      </c>
      <c r="AA13" s="75" t="str">
        <f>IF(V13="","",IF(AND(R13&lt;=W13, S13&gt;=X13, U13&gt;=Z13),"O","X"))</f>
        <v/>
      </c>
      <c r="AC13" s="50"/>
      <c r="AE13" s="155" t="s">
        <v>11</v>
      </c>
      <c r="AF13" s="66" t="str">
        <f t="shared" si="14"/>
        <v>카페인수화물</v>
      </c>
      <c r="AG13" s="134">
        <f>C13*$AG$7</f>
        <v>5</v>
      </c>
      <c r="AH13" s="134">
        <f t="shared" si="6"/>
        <v>25</v>
      </c>
      <c r="AI13" s="135"/>
      <c r="AJ13" s="134">
        <f t="shared" si="7"/>
        <v>75</v>
      </c>
      <c r="AK13" s="78" t="str">
        <f t="shared" si="15"/>
        <v/>
      </c>
      <c r="AL13" s="66" t="str">
        <f t="shared" si="8"/>
        <v>-</v>
      </c>
      <c r="AM13" s="66" t="str">
        <f t="shared" si="9"/>
        <v>-</v>
      </c>
      <c r="AN13" s="66" t="str">
        <f t="shared" ref="AN13:AN26" si="19">IF($AK13&lt;&gt;"",$AH$4*$AK13*$AH$3,"-")</f>
        <v>-</v>
      </c>
      <c r="AO13" s="74" t="str">
        <f t="shared" si="10"/>
        <v>-</v>
      </c>
      <c r="AP13" s="75" t="str">
        <f>IF(AK13="","",IF(AND(AG13&lt;=AL13, AH13&gt;=AM13, AJ13&gt;=AO13),"O","X"))</f>
        <v/>
      </c>
      <c r="AQ13" s="34"/>
    </row>
    <row r="14" spans="1:44" s="45" customFormat="1" ht="24.95" customHeight="1" x14ac:dyDescent="0.3">
      <c r="A14" s="155"/>
      <c r="B14" s="66" t="s">
        <v>64</v>
      </c>
      <c r="C14" s="66">
        <f>D14/5</f>
        <v>10</v>
      </c>
      <c r="D14" s="66">
        <v>50</v>
      </c>
      <c r="E14" s="67"/>
      <c r="F14" s="66">
        <v>150</v>
      </c>
      <c r="G14" s="68"/>
      <c r="H14" s="66" t="str">
        <f t="shared" si="16"/>
        <v>-</v>
      </c>
      <c r="I14" s="66" t="str">
        <f t="shared" si="17"/>
        <v>-</v>
      </c>
      <c r="J14" s="66" t="str">
        <f t="shared" si="18"/>
        <v>-</v>
      </c>
      <c r="K14" s="74" t="str">
        <f t="shared" si="11"/>
        <v>-</v>
      </c>
      <c r="L14" s="75" t="str">
        <f>IF(G14="","",IF(AND(C14&lt;=H14, D14&gt;=I14, F14&gt;=K14),"O","X"))</f>
        <v/>
      </c>
      <c r="N14" s="50"/>
      <c r="P14" s="155"/>
      <c r="Q14" s="66" t="str">
        <f t="shared" si="12"/>
        <v>카페인무수물</v>
      </c>
      <c r="R14" s="134">
        <f t="shared" ref="R14:R15" si="20">C14*$R$7</f>
        <v>6.6666666666666661</v>
      </c>
      <c r="S14" s="134">
        <f t="shared" si="0"/>
        <v>33.333333333333329</v>
      </c>
      <c r="T14" s="135"/>
      <c r="U14" s="134">
        <f t="shared" si="1"/>
        <v>100</v>
      </c>
      <c r="V14" s="78" t="str">
        <f t="shared" si="13"/>
        <v/>
      </c>
      <c r="W14" s="66" t="str">
        <f t="shared" si="2"/>
        <v>-</v>
      </c>
      <c r="X14" s="66" t="str">
        <f t="shared" si="3"/>
        <v>-</v>
      </c>
      <c r="Y14" s="66" t="str">
        <f t="shared" si="4"/>
        <v>-</v>
      </c>
      <c r="Z14" s="74" t="str">
        <f t="shared" si="5"/>
        <v>-</v>
      </c>
      <c r="AA14" s="75" t="str">
        <f>IF(V14="","",IF(AND(R14&lt;=W14, S14&gt;=X14, U14&gt;=Z14),"O","X"))</f>
        <v/>
      </c>
      <c r="AC14" s="50"/>
      <c r="AE14" s="155"/>
      <c r="AF14" s="66" t="str">
        <f t="shared" si="14"/>
        <v>카페인무수물</v>
      </c>
      <c r="AG14" s="134">
        <f>C14*$AG$7</f>
        <v>5</v>
      </c>
      <c r="AH14" s="134">
        <f t="shared" si="6"/>
        <v>25</v>
      </c>
      <c r="AI14" s="135"/>
      <c r="AJ14" s="134">
        <f t="shared" si="7"/>
        <v>75</v>
      </c>
      <c r="AK14" s="78" t="str">
        <f t="shared" si="15"/>
        <v/>
      </c>
      <c r="AL14" s="66" t="str">
        <f t="shared" si="8"/>
        <v>-</v>
      </c>
      <c r="AM14" s="66" t="str">
        <f t="shared" si="9"/>
        <v>-</v>
      </c>
      <c r="AN14" s="66" t="str">
        <f t="shared" si="19"/>
        <v>-</v>
      </c>
      <c r="AO14" s="74" t="str">
        <f t="shared" si="10"/>
        <v>-</v>
      </c>
      <c r="AP14" s="75" t="str">
        <f>IF(AK14="","",IF(AND(AG14&lt;=AL14, AH14&gt;=AM14, AJ14&gt;=AO14),"O","X"))</f>
        <v/>
      </c>
      <c r="AQ14" s="34"/>
    </row>
    <row r="15" spans="1:44" s="34" customFormat="1" ht="24.95" customHeight="1" x14ac:dyDescent="0.3">
      <c r="A15" s="155"/>
      <c r="B15" s="66" t="s">
        <v>79</v>
      </c>
      <c r="C15" s="66">
        <f>D15/5</f>
        <v>10</v>
      </c>
      <c r="D15" s="66">
        <v>50</v>
      </c>
      <c r="E15" s="67"/>
      <c r="F15" s="66">
        <v>200</v>
      </c>
      <c r="G15" s="68">
        <v>25</v>
      </c>
      <c r="H15" s="66">
        <f t="shared" si="16"/>
        <v>25</v>
      </c>
      <c r="I15" s="66">
        <f t="shared" si="17"/>
        <v>50</v>
      </c>
      <c r="J15" s="66">
        <f t="shared" si="18"/>
        <v>25</v>
      </c>
      <c r="K15" s="74">
        <f t="shared" si="11"/>
        <v>150</v>
      </c>
      <c r="L15" s="75" t="str">
        <f>IF(G15="","",IF(AND(C15&lt;=H15, D15&gt;=I15, F15&gt;=K15),"O","X"))</f>
        <v>O</v>
      </c>
      <c r="M15" s="45"/>
      <c r="N15" s="50"/>
      <c r="P15" s="155"/>
      <c r="Q15" s="66" t="str">
        <f t="shared" si="12"/>
        <v>파마브롬</v>
      </c>
      <c r="R15" s="134">
        <f t="shared" si="20"/>
        <v>6.6666666666666661</v>
      </c>
      <c r="S15" s="134">
        <f t="shared" si="0"/>
        <v>33.333333333333329</v>
      </c>
      <c r="T15" s="135"/>
      <c r="U15" s="134">
        <f t="shared" si="1"/>
        <v>133.33333333333331</v>
      </c>
      <c r="V15" s="78">
        <f t="shared" si="13"/>
        <v>25</v>
      </c>
      <c r="W15" s="66">
        <f t="shared" si="2"/>
        <v>25</v>
      </c>
      <c r="X15" s="66">
        <f t="shared" si="3"/>
        <v>25</v>
      </c>
      <c r="Y15" s="66">
        <f t="shared" si="4"/>
        <v>25</v>
      </c>
      <c r="Z15" s="74">
        <f t="shared" si="5"/>
        <v>75</v>
      </c>
      <c r="AA15" s="75" t="str">
        <f>IF(V15="","",IF(AND(R15&lt;=W15, S15&gt;=X15, U15&gt;=Z15),"O","X"))</f>
        <v>O</v>
      </c>
      <c r="AB15" s="45"/>
      <c r="AC15" s="50"/>
      <c r="AE15" s="155"/>
      <c r="AF15" s="66" t="str">
        <f t="shared" si="14"/>
        <v>파마브롬</v>
      </c>
      <c r="AG15" s="134">
        <f>C15*$AG$7</f>
        <v>5</v>
      </c>
      <c r="AH15" s="134">
        <f t="shared" si="6"/>
        <v>25</v>
      </c>
      <c r="AI15" s="135"/>
      <c r="AJ15" s="134">
        <f t="shared" si="7"/>
        <v>100</v>
      </c>
      <c r="AK15" s="78">
        <f t="shared" si="15"/>
        <v>25</v>
      </c>
      <c r="AL15" s="66">
        <f t="shared" si="8"/>
        <v>25</v>
      </c>
      <c r="AM15" s="66">
        <f t="shared" si="9"/>
        <v>25</v>
      </c>
      <c r="AN15" s="66">
        <f t="shared" si="19"/>
        <v>75</v>
      </c>
      <c r="AO15" s="74">
        <f t="shared" si="10"/>
        <v>75</v>
      </c>
      <c r="AP15" s="75" t="str">
        <f>IF(AK15="","",IF(AND(AG15&lt;=AL15, AH15&gt;=AM15, AJ15&gt;=AO15),"O","X"))</f>
        <v>O</v>
      </c>
    </row>
    <row r="16" spans="1:44" s="45" customFormat="1" ht="24.95" customHeight="1" x14ac:dyDescent="0.3">
      <c r="A16" s="155" t="s">
        <v>65</v>
      </c>
      <c r="B16" s="66" t="s">
        <v>113</v>
      </c>
      <c r="C16" s="67"/>
      <c r="D16" s="67"/>
      <c r="E16" s="66">
        <v>1</v>
      </c>
      <c r="F16" s="66">
        <v>25</v>
      </c>
      <c r="G16" s="68">
        <v>2</v>
      </c>
      <c r="H16" s="66">
        <f t="shared" si="16"/>
        <v>2</v>
      </c>
      <c r="I16" s="66">
        <f t="shared" si="17"/>
        <v>4</v>
      </c>
      <c r="J16" s="66">
        <f t="shared" si="18"/>
        <v>2</v>
      </c>
      <c r="K16" s="74">
        <f t="shared" si="11"/>
        <v>12</v>
      </c>
      <c r="L16" s="75" t="str">
        <f>IF(G16="","",IF(AND(E16&lt;=J16, F16&gt;=K16),"O","X"))</f>
        <v>O</v>
      </c>
      <c r="N16" s="50"/>
      <c r="P16" s="155" t="s">
        <v>65</v>
      </c>
      <c r="Q16" s="66" t="str">
        <f t="shared" si="12"/>
        <v>비타민 B1 및 그 유도체</v>
      </c>
      <c r="R16" s="135"/>
      <c r="S16" s="135"/>
      <c r="T16" s="134">
        <f>E16*$R$7</f>
        <v>0.66666666666666663</v>
      </c>
      <c r="U16" s="134">
        <f t="shared" si="1"/>
        <v>16.666666666666664</v>
      </c>
      <c r="V16" s="78">
        <f t="shared" si="13"/>
        <v>2</v>
      </c>
      <c r="W16" s="66">
        <f t="shared" si="2"/>
        <v>2</v>
      </c>
      <c r="X16" s="66">
        <f t="shared" si="3"/>
        <v>2</v>
      </c>
      <c r="Y16" s="66">
        <f t="shared" si="4"/>
        <v>2</v>
      </c>
      <c r="Z16" s="74">
        <f t="shared" si="5"/>
        <v>6</v>
      </c>
      <c r="AA16" s="75" t="str">
        <f>IF(V16="","",IF(AND(T16&lt;=Y16, U16&gt;=Z16),"O","X"))</f>
        <v>O</v>
      </c>
      <c r="AC16" s="50"/>
      <c r="AE16" s="155" t="s">
        <v>65</v>
      </c>
      <c r="AF16" s="66" t="str">
        <f t="shared" si="14"/>
        <v>비타민 B1 및 그 유도체</v>
      </c>
      <c r="AG16" s="135"/>
      <c r="AH16" s="135"/>
      <c r="AI16" s="134">
        <f>E16*$AG$7</f>
        <v>0.5</v>
      </c>
      <c r="AJ16" s="134">
        <f t="shared" si="7"/>
        <v>12.5</v>
      </c>
      <c r="AK16" s="78">
        <f t="shared" si="15"/>
        <v>2</v>
      </c>
      <c r="AL16" s="66">
        <f t="shared" si="8"/>
        <v>2</v>
      </c>
      <c r="AM16" s="66">
        <f t="shared" si="9"/>
        <v>2</v>
      </c>
      <c r="AN16" s="66">
        <f t="shared" si="19"/>
        <v>6</v>
      </c>
      <c r="AO16" s="74">
        <f t="shared" si="10"/>
        <v>6</v>
      </c>
      <c r="AP16" s="75" t="str">
        <f>IF(AK16="","",IF(AND(AI16&lt;=AN16, AJ16&gt;=AO16),"O","X"))</f>
        <v>O</v>
      </c>
      <c r="AQ16" s="34"/>
    </row>
    <row r="17" spans="1:43" s="45" customFormat="1" ht="24.95" customHeight="1" x14ac:dyDescent="0.3">
      <c r="A17" s="155"/>
      <c r="B17" s="66" t="s">
        <v>114</v>
      </c>
      <c r="C17" s="67"/>
      <c r="D17" s="67"/>
      <c r="E17" s="66">
        <v>2</v>
      </c>
      <c r="F17" s="66">
        <v>12</v>
      </c>
      <c r="G17" s="68"/>
      <c r="H17" s="66" t="str">
        <f t="shared" si="16"/>
        <v>-</v>
      </c>
      <c r="I17" s="66" t="str">
        <f t="shared" si="17"/>
        <v>-</v>
      </c>
      <c r="J17" s="66" t="str">
        <f t="shared" si="18"/>
        <v>-</v>
      </c>
      <c r="K17" s="74" t="str">
        <f t="shared" si="11"/>
        <v>-</v>
      </c>
      <c r="L17" s="75" t="str">
        <f t="shared" ref="L17:L18" si="21">IF(G17="","",IF(AND(E17&lt;=J17, F17&gt;=K17),"O","X"))</f>
        <v/>
      </c>
      <c r="N17" s="50"/>
      <c r="P17" s="155"/>
      <c r="Q17" s="66" t="str">
        <f t="shared" si="12"/>
        <v>비타민 B2 및 그 유도체</v>
      </c>
      <c r="R17" s="135"/>
      <c r="S17" s="135"/>
      <c r="T17" s="134">
        <f t="shared" ref="T17:T18" si="22">E17*$R$7</f>
        <v>1.3333333333333333</v>
      </c>
      <c r="U17" s="134">
        <f t="shared" si="1"/>
        <v>8</v>
      </c>
      <c r="V17" s="78" t="str">
        <f t="shared" si="13"/>
        <v/>
      </c>
      <c r="W17" s="66" t="str">
        <f t="shared" si="2"/>
        <v>-</v>
      </c>
      <c r="X17" s="66" t="str">
        <f t="shared" si="3"/>
        <v>-</v>
      </c>
      <c r="Y17" s="66" t="str">
        <f t="shared" si="4"/>
        <v>-</v>
      </c>
      <c r="Z17" s="74" t="str">
        <f t="shared" si="5"/>
        <v>-</v>
      </c>
      <c r="AA17" s="75" t="str">
        <f t="shared" ref="AA17:AA18" si="23">IF(V17="","",IF(AND(T17&lt;=Y17, U17&gt;=Z17),"O","X"))</f>
        <v/>
      </c>
      <c r="AC17" s="50"/>
      <c r="AE17" s="155"/>
      <c r="AF17" s="66" t="str">
        <f t="shared" si="14"/>
        <v>비타민 B2 및 그 유도체</v>
      </c>
      <c r="AG17" s="135"/>
      <c r="AH17" s="135"/>
      <c r="AI17" s="134">
        <f t="shared" ref="AI17:AI18" si="24">E17*$AG$7</f>
        <v>1</v>
      </c>
      <c r="AJ17" s="134">
        <f t="shared" si="7"/>
        <v>6</v>
      </c>
      <c r="AK17" s="78" t="str">
        <f t="shared" si="15"/>
        <v/>
      </c>
      <c r="AL17" s="66" t="str">
        <f t="shared" si="8"/>
        <v>-</v>
      </c>
      <c r="AM17" s="66" t="str">
        <f t="shared" si="9"/>
        <v>-</v>
      </c>
      <c r="AN17" s="66" t="str">
        <f t="shared" si="19"/>
        <v>-</v>
      </c>
      <c r="AO17" s="74" t="str">
        <f t="shared" si="10"/>
        <v>-</v>
      </c>
      <c r="AP17" s="75" t="str">
        <f t="shared" ref="AP17:AP18" si="25">IF(AK17="","",IF(AND(AI17&lt;=AN17, AJ17&gt;=AO17),"O","X"))</f>
        <v/>
      </c>
      <c r="AQ17" s="34"/>
    </row>
    <row r="18" spans="1:43" s="45" customFormat="1" ht="24.95" customHeight="1" x14ac:dyDescent="0.3">
      <c r="A18" s="155"/>
      <c r="B18" s="66" t="s">
        <v>115</v>
      </c>
      <c r="C18" s="67"/>
      <c r="D18" s="67"/>
      <c r="E18" s="66">
        <v>50</v>
      </c>
      <c r="F18" s="66">
        <v>500</v>
      </c>
      <c r="G18" s="68"/>
      <c r="H18" s="66" t="str">
        <f t="shared" si="16"/>
        <v>-</v>
      </c>
      <c r="I18" s="66" t="str">
        <f t="shared" si="17"/>
        <v>-</v>
      </c>
      <c r="J18" s="66" t="str">
        <f t="shared" si="18"/>
        <v>-</v>
      </c>
      <c r="K18" s="74" t="str">
        <f t="shared" si="11"/>
        <v>-</v>
      </c>
      <c r="L18" s="75" t="str">
        <f t="shared" si="21"/>
        <v/>
      </c>
      <c r="N18" s="50"/>
      <c r="P18" s="155"/>
      <c r="Q18" s="66" t="str">
        <f t="shared" si="12"/>
        <v>비타민 C 및 그 유도체</v>
      </c>
      <c r="R18" s="135"/>
      <c r="S18" s="135"/>
      <c r="T18" s="134">
        <f t="shared" si="22"/>
        <v>33.333333333333329</v>
      </c>
      <c r="U18" s="134">
        <f t="shared" si="1"/>
        <v>333.33333333333331</v>
      </c>
      <c r="V18" s="78" t="str">
        <f t="shared" si="13"/>
        <v/>
      </c>
      <c r="W18" s="66" t="str">
        <f t="shared" si="2"/>
        <v>-</v>
      </c>
      <c r="X18" s="66" t="str">
        <f t="shared" si="3"/>
        <v>-</v>
      </c>
      <c r="Y18" s="66" t="str">
        <f t="shared" si="4"/>
        <v>-</v>
      </c>
      <c r="Z18" s="74" t="str">
        <f t="shared" si="5"/>
        <v>-</v>
      </c>
      <c r="AA18" s="75" t="str">
        <f t="shared" si="23"/>
        <v/>
      </c>
      <c r="AC18" s="50"/>
      <c r="AE18" s="155"/>
      <c r="AF18" s="66" t="str">
        <f t="shared" si="14"/>
        <v>비타민 C 및 그 유도체</v>
      </c>
      <c r="AG18" s="135"/>
      <c r="AH18" s="135"/>
      <c r="AI18" s="134">
        <f t="shared" si="24"/>
        <v>25</v>
      </c>
      <c r="AJ18" s="134">
        <f t="shared" si="7"/>
        <v>250</v>
      </c>
      <c r="AK18" s="78" t="str">
        <f t="shared" si="15"/>
        <v/>
      </c>
      <c r="AL18" s="66" t="str">
        <f t="shared" si="8"/>
        <v>-</v>
      </c>
      <c r="AM18" s="66" t="str">
        <f t="shared" si="9"/>
        <v>-</v>
      </c>
      <c r="AN18" s="66" t="str">
        <f t="shared" si="19"/>
        <v>-</v>
      </c>
      <c r="AO18" s="74" t="str">
        <f t="shared" si="10"/>
        <v>-</v>
      </c>
      <c r="AP18" s="75" t="str">
        <f t="shared" si="25"/>
        <v/>
      </c>
      <c r="AQ18" s="34"/>
    </row>
    <row r="19" spans="1:43" s="45" customFormat="1" ht="24.95" customHeight="1" x14ac:dyDescent="0.3">
      <c r="A19" s="163" t="s">
        <v>24</v>
      </c>
      <c r="B19" s="66" t="s">
        <v>66</v>
      </c>
      <c r="C19" s="66">
        <f>F19/15</f>
        <v>200</v>
      </c>
      <c r="D19" s="70"/>
      <c r="E19" s="70"/>
      <c r="F19" s="66">
        <v>3000</v>
      </c>
      <c r="G19" s="68"/>
      <c r="H19" s="66" t="str">
        <f t="shared" si="16"/>
        <v>-</v>
      </c>
      <c r="I19" s="66" t="str">
        <f t="shared" si="17"/>
        <v>-</v>
      </c>
      <c r="J19" s="66" t="str">
        <f t="shared" si="18"/>
        <v>-</v>
      </c>
      <c r="K19" s="74" t="str">
        <f t="shared" si="11"/>
        <v>-</v>
      </c>
      <c r="L19" s="75" t="str">
        <f>IF(G19="","",IF(AND(C19&lt;=H19, F19&gt;=K19),"O","X"))</f>
        <v/>
      </c>
      <c r="N19" s="50"/>
      <c r="P19" s="166" t="s">
        <v>24</v>
      </c>
      <c r="Q19" s="66" t="str">
        <f t="shared" si="12"/>
        <v>규산마그네슘</v>
      </c>
      <c r="R19" s="134">
        <f t="shared" ref="R19:R22" si="26">C19*$R$7</f>
        <v>133.33333333333331</v>
      </c>
      <c r="S19" s="135"/>
      <c r="T19" s="135"/>
      <c r="U19" s="134">
        <f t="shared" si="1"/>
        <v>2000</v>
      </c>
      <c r="V19" s="78" t="str">
        <f t="shared" si="13"/>
        <v/>
      </c>
      <c r="W19" s="66" t="str">
        <f t="shared" si="2"/>
        <v>-</v>
      </c>
      <c r="X19" s="66" t="str">
        <f t="shared" si="3"/>
        <v>-</v>
      </c>
      <c r="Y19" s="66" t="str">
        <f t="shared" si="4"/>
        <v>-</v>
      </c>
      <c r="Z19" s="74" t="str">
        <f t="shared" si="5"/>
        <v>-</v>
      </c>
      <c r="AA19" s="75" t="str">
        <f>IF(V19="","",IF(AND(R19&lt;=W19, U19&gt;=Z19),"O","X"))</f>
        <v/>
      </c>
      <c r="AC19" s="50"/>
      <c r="AE19" s="166" t="s">
        <v>24</v>
      </c>
      <c r="AF19" s="66" t="str">
        <f t="shared" si="14"/>
        <v>규산마그네슘</v>
      </c>
      <c r="AG19" s="134">
        <f>C19*$AG$7</f>
        <v>100</v>
      </c>
      <c r="AH19" s="135"/>
      <c r="AI19" s="135"/>
      <c r="AJ19" s="134">
        <f t="shared" si="7"/>
        <v>1500</v>
      </c>
      <c r="AK19" s="78" t="str">
        <f t="shared" si="15"/>
        <v/>
      </c>
      <c r="AL19" s="66" t="str">
        <f t="shared" si="8"/>
        <v>-</v>
      </c>
      <c r="AM19" s="66" t="str">
        <f t="shared" si="9"/>
        <v>-</v>
      </c>
      <c r="AN19" s="66" t="str">
        <f t="shared" si="19"/>
        <v>-</v>
      </c>
      <c r="AO19" s="74" t="str">
        <f t="shared" si="10"/>
        <v>-</v>
      </c>
      <c r="AP19" s="75" t="str">
        <f>IF(AK19="","",IF(AND(AG19&lt;=AL19, AJ19&gt;=AO19),"O","X"))</f>
        <v/>
      </c>
      <c r="AQ19" s="34"/>
    </row>
    <row r="20" spans="1:43" s="45" customFormat="1" ht="30.75" customHeight="1" x14ac:dyDescent="0.3">
      <c r="A20" s="164"/>
      <c r="B20" s="71" t="s">
        <v>86</v>
      </c>
      <c r="C20" s="66">
        <f>F20/15</f>
        <v>100</v>
      </c>
      <c r="D20" s="70"/>
      <c r="E20" s="70"/>
      <c r="F20" s="66">
        <v>1500</v>
      </c>
      <c r="G20" s="68"/>
      <c r="H20" s="66" t="str">
        <f t="shared" si="16"/>
        <v>-</v>
      </c>
      <c r="I20" s="66" t="str">
        <f t="shared" si="17"/>
        <v>-</v>
      </c>
      <c r="J20" s="66" t="str">
        <f t="shared" si="18"/>
        <v>-</v>
      </c>
      <c r="K20" s="74" t="str">
        <f t="shared" si="11"/>
        <v>-</v>
      </c>
      <c r="L20" s="75" t="str">
        <f>IF(G20="","",IF(AND(C20&lt;=H20, F20&gt;=K20),"O","X"))</f>
        <v/>
      </c>
      <c r="N20" s="50"/>
      <c r="P20" s="167"/>
      <c r="Q20" s="66" t="str">
        <f t="shared" si="12"/>
        <v>메타규산알루민산
마그네슘</v>
      </c>
      <c r="R20" s="134">
        <f t="shared" si="26"/>
        <v>66.666666666666657</v>
      </c>
      <c r="S20" s="135"/>
      <c r="T20" s="135"/>
      <c r="U20" s="134">
        <f t="shared" si="1"/>
        <v>1000</v>
      </c>
      <c r="V20" s="78" t="str">
        <f t="shared" si="13"/>
        <v/>
      </c>
      <c r="W20" s="66" t="str">
        <f t="shared" si="2"/>
        <v>-</v>
      </c>
      <c r="X20" s="66" t="str">
        <f t="shared" si="3"/>
        <v>-</v>
      </c>
      <c r="Y20" s="66" t="str">
        <f t="shared" si="4"/>
        <v>-</v>
      </c>
      <c r="Z20" s="74" t="str">
        <f t="shared" si="5"/>
        <v>-</v>
      </c>
      <c r="AA20" s="75" t="str">
        <f>IF(V20="","",IF(AND(R20&lt;=W20, U20&gt;=Z20),"O","X"))</f>
        <v/>
      </c>
      <c r="AC20" s="50"/>
      <c r="AE20" s="167"/>
      <c r="AF20" s="66" t="str">
        <f t="shared" si="14"/>
        <v>메타규산알루민산
마그네슘</v>
      </c>
      <c r="AG20" s="134">
        <f>C20*$AG$7</f>
        <v>50</v>
      </c>
      <c r="AH20" s="135"/>
      <c r="AI20" s="135"/>
      <c r="AJ20" s="134">
        <f t="shared" si="7"/>
        <v>750</v>
      </c>
      <c r="AK20" s="78" t="str">
        <f t="shared" si="15"/>
        <v/>
      </c>
      <c r="AL20" s="66" t="str">
        <f t="shared" si="8"/>
        <v>-</v>
      </c>
      <c r="AM20" s="66" t="str">
        <f t="shared" si="9"/>
        <v>-</v>
      </c>
      <c r="AN20" s="66" t="str">
        <f t="shared" si="19"/>
        <v>-</v>
      </c>
      <c r="AO20" s="74" t="str">
        <f t="shared" si="10"/>
        <v>-</v>
      </c>
      <c r="AP20" s="75" t="str">
        <f>IF(AK20="","",IF(AND(AG20&lt;=AL20, AJ20&gt;=AO20),"O","X"))</f>
        <v/>
      </c>
      <c r="AQ20" s="34"/>
    </row>
    <row r="21" spans="1:43" s="45" customFormat="1" ht="24.95" customHeight="1" x14ac:dyDescent="0.3">
      <c r="A21" s="164"/>
      <c r="B21" s="66" t="s">
        <v>67</v>
      </c>
      <c r="C21" s="72">
        <f>F21/15</f>
        <v>33.333333333333336</v>
      </c>
      <c r="D21" s="70"/>
      <c r="E21" s="70"/>
      <c r="F21" s="66">
        <v>500</v>
      </c>
      <c r="G21" s="68">
        <v>50</v>
      </c>
      <c r="H21" s="66">
        <f t="shared" si="16"/>
        <v>50</v>
      </c>
      <c r="I21" s="66">
        <f t="shared" si="17"/>
        <v>100</v>
      </c>
      <c r="J21" s="66">
        <f t="shared" si="18"/>
        <v>50</v>
      </c>
      <c r="K21" s="74">
        <f t="shared" si="11"/>
        <v>300</v>
      </c>
      <c r="L21" s="75" t="str">
        <f>IF(G21="","",IF(AND(C21&lt;=H21, F21&gt;=K21),"O","X"))</f>
        <v>O</v>
      </c>
      <c r="N21" s="50"/>
      <c r="P21" s="167"/>
      <c r="Q21" s="66" t="str">
        <f t="shared" si="12"/>
        <v>산화마그네슘</v>
      </c>
      <c r="R21" s="134">
        <f t="shared" si="26"/>
        <v>22.222222222222221</v>
      </c>
      <c r="S21" s="135"/>
      <c r="T21" s="135"/>
      <c r="U21" s="134">
        <f t="shared" si="1"/>
        <v>333.33333333333331</v>
      </c>
      <c r="V21" s="78">
        <f t="shared" si="13"/>
        <v>50</v>
      </c>
      <c r="W21" s="66">
        <f t="shared" si="2"/>
        <v>50</v>
      </c>
      <c r="X21" s="66">
        <f t="shared" si="3"/>
        <v>50</v>
      </c>
      <c r="Y21" s="66">
        <f t="shared" si="4"/>
        <v>50</v>
      </c>
      <c r="Z21" s="74">
        <f t="shared" si="5"/>
        <v>150</v>
      </c>
      <c r="AA21" s="75" t="str">
        <f>IF(V21="","",IF(AND(R21&lt;=W21, U21&gt;=Z21),"O","X"))</f>
        <v>O</v>
      </c>
      <c r="AC21" s="50"/>
      <c r="AE21" s="167"/>
      <c r="AF21" s="66" t="str">
        <f t="shared" si="14"/>
        <v>산화마그네슘</v>
      </c>
      <c r="AG21" s="134">
        <f>C21*$AG$7</f>
        <v>16.666666666666668</v>
      </c>
      <c r="AH21" s="135"/>
      <c r="AI21" s="135"/>
      <c r="AJ21" s="134">
        <f t="shared" si="7"/>
        <v>250</v>
      </c>
      <c r="AK21" s="78">
        <f t="shared" si="15"/>
        <v>50</v>
      </c>
      <c r="AL21" s="66">
        <f t="shared" si="8"/>
        <v>50</v>
      </c>
      <c r="AM21" s="66">
        <f t="shared" si="9"/>
        <v>50</v>
      </c>
      <c r="AN21" s="66">
        <f t="shared" si="19"/>
        <v>150</v>
      </c>
      <c r="AO21" s="74">
        <f t="shared" si="10"/>
        <v>150</v>
      </c>
      <c r="AP21" s="75" t="str">
        <f>IF(AK21="","",IF(AND(AG21&lt;=AL21, AJ21&gt;=AO21),"O","X"))</f>
        <v>O</v>
      </c>
      <c r="AQ21" s="34"/>
    </row>
    <row r="22" spans="1:43" s="45" customFormat="1" ht="24.95" customHeight="1" x14ac:dyDescent="0.3">
      <c r="A22" s="165"/>
      <c r="B22" s="66" t="s">
        <v>178</v>
      </c>
      <c r="C22" s="72">
        <f>F22/15</f>
        <v>66.666666666666671</v>
      </c>
      <c r="D22" s="70"/>
      <c r="E22" s="70"/>
      <c r="F22" s="66">
        <v>1000</v>
      </c>
      <c r="G22" s="68"/>
      <c r="H22" s="66" t="str">
        <f t="shared" si="16"/>
        <v>-</v>
      </c>
      <c r="I22" s="66" t="str">
        <f t="shared" si="17"/>
        <v>-</v>
      </c>
      <c r="J22" s="66" t="str">
        <f t="shared" si="18"/>
        <v>-</v>
      </c>
      <c r="K22" s="74" t="str">
        <f t="shared" si="11"/>
        <v>-</v>
      </c>
      <c r="L22" s="75" t="str">
        <f>IF(G22="","",IF(AND(C22&lt;=H22, F22&gt;=K22),"O","X"))</f>
        <v/>
      </c>
      <c r="N22" s="50"/>
      <c r="P22" s="168"/>
      <c r="Q22" s="66" t="str">
        <f t="shared" si="12"/>
        <v>수산화알루미늄겔</v>
      </c>
      <c r="R22" s="134">
        <f t="shared" si="26"/>
        <v>44.444444444444443</v>
      </c>
      <c r="S22" s="135"/>
      <c r="T22" s="135"/>
      <c r="U22" s="136">
        <f t="shared" si="1"/>
        <v>666.66666666666663</v>
      </c>
      <c r="V22" s="78" t="str">
        <f t="shared" si="13"/>
        <v/>
      </c>
      <c r="W22" s="66" t="str">
        <f t="shared" si="2"/>
        <v>-</v>
      </c>
      <c r="X22" s="66" t="str">
        <f t="shared" si="3"/>
        <v>-</v>
      </c>
      <c r="Y22" s="66" t="str">
        <f t="shared" si="4"/>
        <v>-</v>
      </c>
      <c r="Z22" s="74" t="str">
        <f t="shared" si="5"/>
        <v>-</v>
      </c>
      <c r="AA22" s="75" t="str">
        <f>IF(V22="","",IF(AND(R22&lt;=W22, U22&gt;=Z22),"O","X"))</f>
        <v/>
      </c>
      <c r="AC22" s="50"/>
      <c r="AE22" s="168"/>
      <c r="AF22" s="66" t="str">
        <f t="shared" si="14"/>
        <v>수산화알루미늄겔</v>
      </c>
      <c r="AG22" s="134">
        <f>C22*$AG$7</f>
        <v>33.333333333333336</v>
      </c>
      <c r="AH22" s="135"/>
      <c r="AI22" s="135"/>
      <c r="AJ22" s="136">
        <f t="shared" si="7"/>
        <v>500</v>
      </c>
      <c r="AK22" s="78" t="str">
        <f t="shared" si="15"/>
        <v/>
      </c>
      <c r="AL22" s="66" t="str">
        <f t="shared" si="8"/>
        <v>-</v>
      </c>
      <c r="AM22" s="66" t="str">
        <f t="shared" si="9"/>
        <v>-</v>
      </c>
      <c r="AN22" s="66" t="str">
        <f t="shared" si="19"/>
        <v>-</v>
      </c>
      <c r="AO22" s="74" t="str">
        <f t="shared" si="10"/>
        <v>-</v>
      </c>
      <c r="AP22" s="75" t="str">
        <f>IF(AK22="","",IF(AND(AG22&lt;=AL22, AJ22&gt;=AO22),"O","X"))</f>
        <v/>
      </c>
      <c r="AQ22" s="34"/>
    </row>
    <row r="23" spans="1:43" s="45" customFormat="1" ht="24.95" customHeight="1" x14ac:dyDescent="0.3">
      <c r="A23" s="169" t="s">
        <v>195</v>
      </c>
      <c r="B23" s="66" t="s">
        <v>198</v>
      </c>
      <c r="C23" s="70"/>
      <c r="D23" s="70"/>
      <c r="E23" s="66">
        <f>F23/10</f>
        <v>500</v>
      </c>
      <c r="F23" s="66">
        <v>5000</v>
      </c>
      <c r="G23" s="68"/>
      <c r="H23" s="66" t="str">
        <f t="shared" si="16"/>
        <v>-</v>
      </c>
      <c r="I23" s="66" t="str">
        <f t="shared" si="17"/>
        <v>-</v>
      </c>
      <c r="J23" s="66" t="str">
        <f t="shared" si="18"/>
        <v>-</v>
      </c>
      <c r="K23" s="74" t="str">
        <f t="shared" si="11"/>
        <v>-</v>
      </c>
      <c r="L23" s="75" t="str">
        <f>IF(G23="","",IF(AND(E23&lt;=J23, F23&gt;=K23),"O","X"))</f>
        <v/>
      </c>
      <c r="N23" s="50"/>
      <c r="P23" s="169" t="s">
        <v>195</v>
      </c>
      <c r="Q23" s="66" t="str">
        <f>B23</f>
        <v>작약엑스</v>
      </c>
      <c r="R23" s="135"/>
      <c r="S23" s="135"/>
      <c r="T23" s="134">
        <f>E23*$R$7</f>
        <v>333.33333333333331</v>
      </c>
      <c r="U23" s="136">
        <f t="shared" si="1"/>
        <v>3333.333333333333</v>
      </c>
      <c r="V23" s="78" t="str">
        <f t="shared" si="13"/>
        <v/>
      </c>
      <c r="W23" s="66" t="str">
        <f t="shared" si="2"/>
        <v>-</v>
      </c>
      <c r="X23" s="66" t="str">
        <f t="shared" si="3"/>
        <v>-</v>
      </c>
      <c r="Y23" s="66" t="str">
        <f t="shared" si="4"/>
        <v>-</v>
      </c>
      <c r="Z23" s="74" t="str">
        <f t="shared" si="5"/>
        <v>-</v>
      </c>
      <c r="AA23" s="75" t="str">
        <f>IF(V23="","",IF(AND(T23&lt;=Y23, U23&gt;=Z23),"O","X"))</f>
        <v/>
      </c>
      <c r="AC23" s="50"/>
      <c r="AE23" s="169" t="s">
        <v>195</v>
      </c>
      <c r="AF23" s="66" t="str">
        <f t="shared" si="14"/>
        <v>작약엑스</v>
      </c>
      <c r="AG23" s="135"/>
      <c r="AH23" s="135"/>
      <c r="AI23" s="134">
        <f>E23*$AG$7</f>
        <v>250</v>
      </c>
      <c r="AJ23" s="136">
        <f t="shared" si="7"/>
        <v>2500</v>
      </c>
      <c r="AK23" s="78" t="str">
        <f t="shared" si="15"/>
        <v/>
      </c>
      <c r="AL23" s="66" t="str">
        <f t="shared" si="8"/>
        <v>-</v>
      </c>
      <c r="AM23" s="66" t="str">
        <f t="shared" si="9"/>
        <v>-</v>
      </c>
      <c r="AN23" s="66" t="str">
        <f t="shared" si="19"/>
        <v>-</v>
      </c>
      <c r="AO23" s="74" t="str">
        <f t="shared" si="10"/>
        <v>-</v>
      </c>
      <c r="AP23" s="75" t="str">
        <f>IF(AK23="","",IF(AND(AI23&lt;=AN23, AJ23&gt;=AO23),"O","X"))</f>
        <v/>
      </c>
      <c r="AQ23" s="34"/>
    </row>
    <row r="24" spans="1:43" s="45" customFormat="1" ht="24.95" customHeight="1" x14ac:dyDescent="0.3">
      <c r="A24" s="170"/>
      <c r="B24" s="66" t="s">
        <v>199</v>
      </c>
      <c r="C24" s="70"/>
      <c r="D24" s="70"/>
      <c r="E24" s="66">
        <f>F24/10</f>
        <v>500</v>
      </c>
      <c r="F24" s="66">
        <v>5000</v>
      </c>
      <c r="G24" s="68"/>
      <c r="H24" s="66" t="str">
        <f t="shared" si="16"/>
        <v>-</v>
      </c>
      <c r="I24" s="66" t="str">
        <f t="shared" si="17"/>
        <v>-</v>
      </c>
      <c r="J24" s="66" t="str">
        <f t="shared" si="18"/>
        <v>-</v>
      </c>
      <c r="K24" s="74" t="str">
        <f t="shared" si="11"/>
        <v>-</v>
      </c>
      <c r="L24" s="75" t="str">
        <f t="shared" ref="L24:L26" si="27">IF(G24="","",IF(AND(E24&lt;=J24, F24&gt;=K24),"O","X"))</f>
        <v/>
      </c>
      <c r="N24" s="50"/>
      <c r="P24" s="170"/>
      <c r="Q24" s="66" t="str">
        <f t="shared" ref="Q24:Q26" si="28">B24</f>
        <v>감초엑스</v>
      </c>
      <c r="R24" s="135"/>
      <c r="S24" s="135"/>
      <c r="T24" s="134">
        <f t="shared" ref="T24:T26" si="29">E24*$R$7</f>
        <v>333.33333333333331</v>
      </c>
      <c r="U24" s="136">
        <f t="shared" si="1"/>
        <v>3333.333333333333</v>
      </c>
      <c r="V24" s="78" t="str">
        <f t="shared" si="13"/>
        <v/>
      </c>
      <c r="W24" s="66" t="str">
        <f t="shared" si="2"/>
        <v>-</v>
      </c>
      <c r="X24" s="66" t="str">
        <f t="shared" si="3"/>
        <v>-</v>
      </c>
      <c r="Y24" s="66" t="str">
        <f t="shared" si="4"/>
        <v>-</v>
      </c>
      <c r="Z24" s="74" t="str">
        <f t="shared" si="5"/>
        <v>-</v>
      </c>
      <c r="AA24" s="75" t="str">
        <f t="shared" ref="AA24:AA26" si="30">IF(V24="","",IF(AND(T24&lt;=Y24, U24&gt;=Z24),"O","X"))</f>
        <v/>
      </c>
      <c r="AC24" s="50"/>
      <c r="AE24" s="170"/>
      <c r="AF24" s="66" t="str">
        <f t="shared" si="14"/>
        <v>감초엑스</v>
      </c>
      <c r="AG24" s="135"/>
      <c r="AH24" s="135"/>
      <c r="AI24" s="134">
        <f t="shared" ref="AI24:AI26" si="31">E24*$AG$7</f>
        <v>250</v>
      </c>
      <c r="AJ24" s="136">
        <f t="shared" si="7"/>
        <v>2500</v>
      </c>
      <c r="AK24" s="78" t="str">
        <f t="shared" si="15"/>
        <v/>
      </c>
      <c r="AL24" s="66" t="str">
        <f t="shared" si="8"/>
        <v>-</v>
      </c>
      <c r="AM24" s="66" t="str">
        <f t="shared" si="9"/>
        <v>-</v>
      </c>
      <c r="AN24" s="66" t="str">
        <f t="shared" si="19"/>
        <v>-</v>
      </c>
      <c r="AO24" s="74" t="str">
        <f t="shared" si="10"/>
        <v>-</v>
      </c>
      <c r="AP24" s="75" t="str">
        <f t="shared" ref="AP24:AP26" si="32">IF(AK24="","",IF(AND(AI24&lt;=AN24, AJ24&gt;=AO24),"O","X"))</f>
        <v/>
      </c>
      <c r="AQ24" s="34"/>
    </row>
    <row r="25" spans="1:43" s="45" customFormat="1" ht="24.95" customHeight="1" x14ac:dyDescent="0.3">
      <c r="A25" s="169" t="s">
        <v>195</v>
      </c>
      <c r="B25" s="66" t="s">
        <v>196</v>
      </c>
      <c r="C25" s="70"/>
      <c r="D25" s="70"/>
      <c r="E25" s="66">
        <f>F25/10</f>
        <v>200</v>
      </c>
      <c r="F25" s="66">
        <v>2000</v>
      </c>
      <c r="G25" s="68"/>
      <c r="H25" s="66" t="str">
        <f t="shared" si="16"/>
        <v>-</v>
      </c>
      <c r="I25" s="66" t="str">
        <f t="shared" si="17"/>
        <v>-</v>
      </c>
      <c r="J25" s="66" t="str">
        <f t="shared" si="18"/>
        <v>-</v>
      </c>
      <c r="K25" s="74" t="str">
        <f t="shared" si="11"/>
        <v>-</v>
      </c>
      <c r="L25" s="75" t="str">
        <f t="shared" si="27"/>
        <v/>
      </c>
      <c r="N25" s="50"/>
      <c r="P25" s="169" t="s">
        <v>195</v>
      </c>
      <c r="Q25" s="66" t="str">
        <f t="shared" si="28"/>
        <v>작약가루</v>
      </c>
      <c r="R25" s="135"/>
      <c r="S25" s="135"/>
      <c r="T25" s="134">
        <f t="shared" si="29"/>
        <v>133.33333333333331</v>
      </c>
      <c r="U25" s="136">
        <f t="shared" ref="U25:U26" si="33">F25*$R$7</f>
        <v>1333.3333333333333</v>
      </c>
      <c r="V25" s="78" t="str">
        <f t="shared" si="13"/>
        <v/>
      </c>
      <c r="W25" s="66" t="str">
        <f t="shared" si="2"/>
        <v>-</v>
      </c>
      <c r="X25" s="66" t="str">
        <f t="shared" si="3"/>
        <v>-</v>
      </c>
      <c r="Y25" s="66" t="str">
        <f t="shared" si="4"/>
        <v>-</v>
      </c>
      <c r="Z25" s="74" t="str">
        <f t="shared" si="5"/>
        <v>-</v>
      </c>
      <c r="AA25" s="75" t="str">
        <f t="shared" si="30"/>
        <v/>
      </c>
      <c r="AC25" s="50"/>
      <c r="AE25" s="169" t="s">
        <v>195</v>
      </c>
      <c r="AF25" s="66" t="str">
        <f t="shared" si="14"/>
        <v>작약가루</v>
      </c>
      <c r="AG25" s="135"/>
      <c r="AH25" s="135"/>
      <c r="AI25" s="134">
        <f t="shared" si="31"/>
        <v>100</v>
      </c>
      <c r="AJ25" s="136">
        <f t="shared" ref="AJ25:AJ26" si="34">F25*$AG$7</f>
        <v>1000</v>
      </c>
      <c r="AK25" s="78" t="str">
        <f t="shared" si="15"/>
        <v/>
      </c>
      <c r="AL25" s="66" t="str">
        <f t="shared" si="8"/>
        <v>-</v>
      </c>
      <c r="AM25" s="66" t="str">
        <f t="shared" si="9"/>
        <v>-</v>
      </c>
      <c r="AN25" s="66" t="str">
        <f t="shared" si="19"/>
        <v>-</v>
      </c>
      <c r="AO25" s="74" t="str">
        <f t="shared" si="10"/>
        <v>-</v>
      </c>
      <c r="AP25" s="75" t="str">
        <f t="shared" si="32"/>
        <v/>
      </c>
      <c r="AQ25" s="34"/>
    </row>
    <row r="26" spans="1:43" s="45" customFormat="1" ht="24.95" customHeight="1" thickBot="1" x14ac:dyDescent="0.35">
      <c r="A26" s="170"/>
      <c r="B26" s="66" t="s">
        <v>197</v>
      </c>
      <c r="C26" s="70"/>
      <c r="D26" s="70"/>
      <c r="E26" s="66">
        <f>F26/10</f>
        <v>150</v>
      </c>
      <c r="F26" s="66">
        <v>1500</v>
      </c>
      <c r="G26" s="68"/>
      <c r="H26" s="66" t="str">
        <f t="shared" si="16"/>
        <v>-</v>
      </c>
      <c r="I26" s="66" t="str">
        <f t="shared" si="17"/>
        <v>-</v>
      </c>
      <c r="J26" s="66" t="str">
        <f t="shared" si="18"/>
        <v>-</v>
      </c>
      <c r="K26" s="74" t="str">
        <f t="shared" si="11"/>
        <v>-</v>
      </c>
      <c r="L26" s="76" t="str">
        <f t="shared" si="27"/>
        <v/>
      </c>
      <c r="N26" s="50"/>
      <c r="P26" s="170"/>
      <c r="Q26" s="66" t="str">
        <f t="shared" si="28"/>
        <v>감초가루</v>
      </c>
      <c r="R26" s="135"/>
      <c r="S26" s="135"/>
      <c r="T26" s="134">
        <f t="shared" si="29"/>
        <v>100</v>
      </c>
      <c r="U26" s="136">
        <f t="shared" si="33"/>
        <v>1000</v>
      </c>
      <c r="V26" s="78" t="str">
        <f t="shared" si="13"/>
        <v/>
      </c>
      <c r="W26" s="66" t="str">
        <f t="shared" si="2"/>
        <v>-</v>
      </c>
      <c r="X26" s="66" t="str">
        <f t="shared" si="3"/>
        <v>-</v>
      </c>
      <c r="Y26" s="66" t="str">
        <f t="shared" si="4"/>
        <v>-</v>
      </c>
      <c r="Z26" s="74" t="str">
        <f t="shared" si="5"/>
        <v>-</v>
      </c>
      <c r="AA26" s="76" t="str">
        <f t="shared" si="30"/>
        <v/>
      </c>
      <c r="AC26" s="50"/>
      <c r="AE26" s="170"/>
      <c r="AF26" s="66" t="str">
        <f t="shared" si="14"/>
        <v>감초가루</v>
      </c>
      <c r="AG26" s="135"/>
      <c r="AH26" s="135"/>
      <c r="AI26" s="134">
        <f t="shared" si="31"/>
        <v>75</v>
      </c>
      <c r="AJ26" s="136">
        <f t="shared" si="34"/>
        <v>750</v>
      </c>
      <c r="AK26" s="78" t="str">
        <f t="shared" si="15"/>
        <v/>
      </c>
      <c r="AL26" s="66" t="str">
        <f t="shared" si="8"/>
        <v>-</v>
      </c>
      <c r="AM26" s="66" t="str">
        <f t="shared" si="9"/>
        <v>-</v>
      </c>
      <c r="AN26" s="66" t="str">
        <f t="shared" si="19"/>
        <v>-</v>
      </c>
      <c r="AO26" s="74" t="str">
        <f t="shared" si="10"/>
        <v>-</v>
      </c>
      <c r="AP26" s="76" t="str">
        <f t="shared" si="32"/>
        <v/>
      </c>
      <c r="AQ26" s="34"/>
    </row>
    <row r="27" spans="1:43" s="41" customFormat="1" ht="50.25" customHeight="1" thickTop="1" thickBot="1" x14ac:dyDescent="0.35">
      <c r="N27" s="48"/>
      <c r="AC27" s="48"/>
    </row>
    <row r="28" spans="1:43" s="41" customFormat="1" ht="24.95" customHeight="1" thickTop="1" x14ac:dyDescent="0.3">
      <c r="A28" s="162" t="s">
        <v>111</v>
      </c>
      <c r="B28" s="162"/>
      <c r="C28" s="162"/>
      <c r="D28" s="162"/>
      <c r="E28" s="162"/>
      <c r="F28" s="162"/>
      <c r="G28" s="162"/>
      <c r="H28" s="162"/>
      <c r="I28" s="162"/>
      <c r="J28" s="162"/>
      <c r="K28" s="162"/>
      <c r="L28" s="80" t="s">
        <v>110</v>
      </c>
      <c r="N28" s="48"/>
      <c r="AC28" s="48"/>
    </row>
    <row r="29" spans="1:43" s="41" customFormat="1" ht="24.75" customHeight="1" x14ac:dyDescent="0.3">
      <c r="A29" s="159" t="s">
        <v>78</v>
      </c>
      <c r="B29" s="160"/>
      <c r="C29" s="160"/>
      <c r="D29" s="160"/>
      <c r="E29" s="160"/>
      <c r="F29" s="160"/>
      <c r="G29" s="160"/>
      <c r="H29" s="160"/>
      <c r="I29" s="160"/>
      <c r="J29" s="160"/>
      <c r="K29" s="161"/>
      <c r="L29" s="79" t="str">
        <f>IF(COUNTA(G10:G26)=0,"",IF(COUNTA(G10:G12)&gt;=1,"O","X"))</f>
        <v>O</v>
      </c>
      <c r="N29" s="48"/>
      <c r="AC29" s="48"/>
      <c r="AO29" s="34"/>
    </row>
    <row r="30" spans="1:43" s="41" customFormat="1" ht="24.75" customHeight="1" x14ac:dyDescent="0.3">
      <c r="A30" s="156" t="s">
        <v>69</v>
      </c>
      <c r="B30" s="157"/>
      <c r="C30" s="157"/>
      <c r="D30" s="157"/>
      <c r="E30" s="157"/>
      <c r="F30" s="157"/>
      <c r="G30" s="157"/>
      <c r="H30" s="157"/>
      <c r="I30" s="157"/>
      <c r="J30" s="157"/>
      <c r="K30" s="158"/>
      <c r="L30" s="75" t="str">
        <f>IF(COUNTA(G10:G26)=0,"",IF(COUNTA(G13:G15)&gt;1,"X","O"))</f>
        <v>O</v>
      </c>
      <c r="N30" s="48"/>
      <c r="AC30" s="48"/>
      <c r="AO30" s="34"/>
    </row>
    <row r="31" spans="1:43" s="41" customFormat="1" ht="24.75" customHeight="1" x14ac:dyDescent="0.3">
      <c r="A31" s="156" t="s">
        <v>70</v>
      </c>
      <c r="B31" s="157"/>
      <c r="C31" s="157"/>
      <c r="D31" s="157"/>
      <c r="E31" s="157"/>
      <c r="F31" s="157"/>
      <c r="G31" s="157"/>
      <c r="H31" s="157"/>
      <c r="I31" s="157"/>
      <c r="J31" s="157"/>
      <c r="K31" s="158"/>
      <c r="L31" s="75" t="str">
        <f>IF(COUNTA(G10:G26)=0,"",IF(AND(G12&lt;&gt;"",COUNTA(G10:G11)&gt;=1),"X","O"))</f>
        <v>O</v>
      </c>
      <c r="N31" s="48"/>
      <c r="AC31" s="48"/>
      <c r="AO31" s="34"/>
    </row>
    <row r="32" spans="1:43" s="41" customFormat="1" ht="24.75" customHeight="1" x14ac:dyDescent="0.3">
      <c r="A32" s="171" t="s">
        <v>112</v>
      </c>
      <c r="B32" s="157"/>
      <c r="C32" s="157"/>
      <c r="D32" s="157"/>
      <c r="E32" s="157"/>
      <c r="F32" s="157"/>
      <c r="G32" s="157"/>
      <c r="H32" s="157"/>
      <c r="I32" s="157"/>
      <c r="J32" s="157"/>
      <c r="K32" s="158"/>
      <c r="L32" s="75" t="str">
        <f>IF(COUNTA(G10:G26)=0,"",IF(COUNTA(G10:G11)&gt;1,IF(AND(I10/D10+I11/D11&gt;=1/2,I10/D10+I11/D11&lt;=3/2),"O","X"),"-"))</f>
        <v>-</v>
      </c>
      <c r="N32" s="38"/>
      <c r="AC32" s="38"/>
      <c r="AO32" s="34"/>
      <c r="AP32" s="34"/>
      <c r="AQ32" s="34"/>
    </row>
    <row r="33" spans="1:41" s="41" customFormat="1" ht="24.75" customHeight="1" thickBot="1" x14ac:dyDescent="0.35">
      <c r="A33" s="156" t="s">
        <v>71</v>
      </c>
      <c r="B33" s="157"/>
      <c r="C33" s="157"/>
      <c r="D33" s="157"/>
      <c r="E33" s="157"/>
      <c r="F33" s="157"/>
      <c r="G33" s="157"/>
      <c r="H33" s="157"/>
      <c r="I33" s="157"/>
      <c r="J33" s="157"/>
      <c r="K33" s="158"/>
      <c r="L33" s="76" t="str">
        <f>IF(COUNTA(G10:G26)=0,"",IF(OR(F3&gt;3,U3&gt;3,AJ3&gt;3),"X","O"))</f>
        <v>O</v>
      </c>
      <c r="N33" s="48"/>
      <c r="AC33" s="48"/>
      <c r="AO33" s="34"/>
    </row>
    <row r="34" spans="1:41" s="41" customFormat="1" ht="14.25" thickTop="1" x14ac:dyDescent="0.3">
      <c r="B34" s="172"/>
      <c r="C34" s="172"/>
      <c r="D34" s="172"/>
      <c r="E34" s="172"/>
      <c r="F34" s="172"/>
      <c r="G34" s="172"/>
      <c r="H34" s="172"/>
      <c r="I34" s="46"/>
      <c r="N34" s="48"/>
      <c r="X34" s="46"/>
      <c r="AC34" s="48"/>
      <c r="AM34" s="46"/>
    </row>
    <row r="35" spans="1:41" s="41" customFormat="1" x14ac:dyDescent="0.3">
      <c r="B35" s="172"/>
      <c r="C35" s="172"/>
      <c r="D35" s="172"/>
      <c r="E35" s="172"/>
      <c r="F35" s="172"/>
      <c r="G35" s="172"/>
      <c r="H35" s="172"/>
      <c r="I35" s="46"/>
      <c r="N35" s="48"/>
      <c r="X35" s="46"/>
      <c r="AC35" s="48"/>
      <c r="AM35" s="46"/>
      <c r="AN35"/>
    </row>
  </sheetData>
  <sheetProtection formatCells="0" formatColumns="0" formatRows="0" insertColumns="0" insertRows="0" deleteColumns="0" deleteRows="0"/>
  <mergeCells count="56">
    <mergeCell ref="A7:B7"/>
    <mergeCell ref="P7:Q7"/>
    <mergeCell ref="C5:G5"/>
    <mergeCell ref="AE13:AE15"/>
    <mergeCell ref="AP8:AP9"/>
    <mergeCell ref="AF8:AF9"/>
    <mergeCell ref="AL8:AO8"/>
    <mergeCell ref="AK8:AK9"/>
    <mergeCell ref="AE8:AE9"/>
    <mergeCell ref="Q8:Q9"/>
    <mergeCell ref="L8:L9"/>
    <mergeCell ref="AG5:AK5"/>
    <mergeCell ref="AE7:AF7"/>
    <mergeCell ref="AA8:AA9"/>
    <mergeCell ref="P13:P15"/>
    <mergeCell ref="A32:K32"/>
    <mergeCell ref="A8:A9"/>
    <mergeCell ref="B8:B9"/>
    <mergeCell ref="P8:P9"/>
    <mergeCell ref="B35:H35"/>
    <mergeCell ref="B34:H34"/>
    <mergeCell ref="A33:K33"/>
    <mergeCell ref="C8:F8"/>
    <mergeCell ref="A13:A15"/>
    <mergeCell ref="A23:A24"/>
    <mergeCell ref="P23:P24"/>
    <mergeCell ref="A25:A26"/>
    <mergeCell ref="P25:P26"/>
    <mergeCell ref="AE16:AE18"/>
    <mergeCell ref="A30:K30"/>
    <mergeCell ref="A31:K31"/>
    <mergeCell ref="A16:A18"/>
    <mergeCell ref="P16:P18"/>
    <mergeCell ref="A29:K29"/>
    <mergeCell ref="A28:K28"/>
    <mergeCell ref="A19:A22"/>
    <mergeCell ref="P19:P22"/>
    <mergeCell ref="AE19:AE22"/>
    <mergeCell ref="AE23:AE24"/>
    <mergeCell ref="AE25:AE26"/>
    <mergeCell ref="AJ1:AO1"/>
    <mergeCell ref="A10:A11"/>
    <mergeCell ref="P10:P11"/>
    <mergeCell ref="AE10:AE11"/>
    <mergeCell ref="U1:Y1"/>
    <mergeCell ref="AF3:AF5"/>
    <mergeCell ref="G8:G9"/>
    <mergeCell ref="H8:K8"/>
    <mergeCell ref="R8:U8"/>
    <mergeCell ref="AG8:AJ8"/>
    <mergeCell ref="W8:Z8"/>
    <mergeCell ref="G1:L1"/>
    <mergeCell ref="V8:V9"/>
    <mergeCell ref="B3:B5"/>
    <mergeCell ref="R5:V5"/>
    <mergeCell ref="Q3:Q5"/>
  </mergeCells>
  <phoneticPr fontId="3" type="noConversion"/>
  <conditionalFormatting sqref="L10:L26 L29:L33">
    <cfRule type="containsText" dxfId="14" priority="31" operator="containsText" text="X">
      <formula>NOT(ISERROR(SEARCH("X",L10)))</formula>
    </cfRule>
  </conditionalFormatting>
  <conditionalFormatting sqref="AA10:AA26">
    <cfRule type="containsText" dxfId="13" priority="2" operator="containsText" text="X">
      <formula>NOT(ISERROR(SEARCH("X",AA10)))</formula>
    </cfRule>
  </conditionalFormatting>
  <conditionalFormatting sqref="AO27:AO34">
    <cfRule type="containsText" dxfId="12" priority="26" operator="containsText" text="X">
      <formula>NOT(ISERROR(SEARCH("X",AO27)))</formula>
    </cfRule>
  </conditionalFormatting>
  <conditionalFormatting sqref="AP10:AP26">
    <cfRule type="containsText" dxfId="11" priority="1" operator="containsText" text="X">
      <formula>NOT(ISERROR(SEARCH("X",AP10)))</formula>
    </cfRule>
  </conditionalFormatting>
  <pageMargins left="0.7" right="0.7" top="0.75" bottom="0.75" header="0.3" footer="0.3"/>
  <pageSetup paperSize="9" orientation="portrait" r:id="rId1"/>
  <ignoredErrors>
    <ignoredError sqref="Z10 AO10 Z11 AO11 Z12 AO12 Z13 AO13 Z14 AO14 Z15 AO15 Z16 AO16 Z17 AO17 Z18 AO18 Z19 AO19 Z20 AO20 Z21 AO21 W21 W20 W19 W18 W17 W16 W15 W14 W13 W12 W11 W10 AL21 AL20 AL19 AL18 AL17 AL16 AL15 AL14 AL13 AL12 AL11 AL10" unlockedFormula="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51"/>
  <sheetViews>
    <sheetView showGridLines="0" topLeftCell="A16" zoomScaleNormal="100" workbookViewId="0">
      <selection activeCell="G30" sqref="G30"/>
    </sheetView>
  </sheetViews>
  <sheetFormatPr defaultRowHeight="16.5" x14ac:dyDescent="0.3"/>
  <cols>
    <col min="1" max="1" width="5.625" customWidth="1"/>
    <col min="2" max="2" width="20.875" style="23" customWidth="1"/>
    <col min="3" max="4" width="7.875" customWidth="1"/>
    <col min="5" max="10" width="8.5" style="23" customWidth="1"/>
    <col min="11" max="11" width="1.25" customWidth="1"/>
    <col min="12" max="12" width="1.25" style="14" customWidth="1"/>
    <col min="13" max="13" width="1.25" customWidth="1"/>
    <col min="14" max="14" width="6.75" customWidth="1"/>
    <col min="15" max="15" width="20.875" style="23" customWidth="1"/>
    <col min="16" max="17" width="8.5" customWidth="1"/>
    <col min="18" max="23" width="8.5" style="23" customWidth="1"/>
    <col min="24" max="24" width="1.25" customWidth="1"/>
    <col min="25" max="25" width="1.25" style="14" customWidth="1"/>
    <col min="26" max="26" width="1.25" customWidth="1"/>
    <col min="27" max="27" width="6.75" customWidth="1"/>
    <col min="28" max="28" width="20.875" style="23" customWidth="1"/>
    <col min="29" max="30" width="8.5" customWidth="1"/>
    <col min="31" max="36" width="8.5" style="23" customWidth="1"/>
    <col min="37" max="38" width="9.25" customWidth="1"/>
  </cols>
  <sheetData>
    <row r="1" spans="1:38" ht="53.25" customHeight="1" x14ac:dyDescent="0.3">
      <c r="A1" s="96" t="s">
        <v>122</v>
      </c>
      <c r="B1" s="97"/>
      <c r="C1" s="98"/>
      <c r="D1" s="99"/>
      <c r="E1" s="183" t="s">
        <v>120</v>
      </c>
      <c r="F1" s="183"/>
      <c r="G1" s="183"/>
      <c r="H1" s="183"/>
      <c r="I1" s="183"/>
      <c r="J1" s="183"/>
      <c r="K1" s="183"/>
      <c r="Q1" s="177"/>
      <c r="R1" s="177"/>
      <c r="S1" s="177"/>
      <c r="T1" s="177"/>
      <c r="U1" s="177"/>
      <c r="V1" s="177"/>
      <c r="AK1" s="24"/>
      <c r="AL1" s="24"/>
    </row>
    <row r="2" spans="1:38" ht="27" thickBot="1" x14ac:dyDescent="0.35">
      <c r="A2" s="18"/>
    </row>
    <row r="3" spans="1:38" s="39" customFormat="1" ht="24" customHeight="1" thickTop="1" x14ac:dyDescent="0.3">
      <c r="B3" s="180" t="s">
        <v>37</v>
      </c>
      <c r="C3" s="83" t="s">
        <v>38</v>
      </c>
      <c r="D3" s="83">
        <v>3</v>
      </c>
      <c r="E3" s="82" t="s">
        <v>33</v>
      </c>
      <c r="F3" s="83"/>
      <c r="G3" s="84"/>
      <c r="J3" s="51"/>
      <c r="L3" s="40"/>
      <c r="O3" s="180" t="s">
        <v>37</v>
      </c>
      <c r="P3" s="83" t="s">
        <v>38</v>
      </c>
      <c r="Q3" s="83">
        <v>3</v>
      </c>
      <c r="R3" s="82" t="s">
        <v>33</v>
      </c>
      <c r="S3" s="83"/>
      <c r="T3" s="84"/>
      <c r="W3" s="51"/>
      <c r="Y3" s="40"/>
      <c r="AB3" s="180" t="s">
        <v>37</v>
      </c>
      <c r="AC3" s="83" t="s">
        <v>38</v>
      </c>
      <c r="AD3" s="83">
        <v>3</v>
      </c>
      <c r="AE3" s="82" t="s">
        <v>33</v>
      </c>
      <c r="AF3" s="83"/>
      <c r="AG3" s="84"/>
      <c r="AJ3" s="51"/>
    </row>
    <row r="4" spans="1:38" s="39" customFormat="1" ht="24" customHeight="1" thickBot="1" x14ac:dyDescent="0.35">
      <c r="A4" s="81"/>
      <c r="B4" s="181"/>
      <c r="C4" s="85" t="s">
        <v>39</v>
      </c>
      <c r="D4" s="87">
        <v>2</v>
      </c>
      <c r="E4" s="85" t="s">
        <v>87</v>
      </c>
      <c r="F4" s="87">
        <v>2</v>
      </c>
      <c r="G4" s="86" t="s">
        <v>34</v>
      </c>
      <c r="J4" s="51"/>
      <c r="L4" s="40"/>
      <c r="N4" s="88"/>
      <c r="O4" s="181"/>
      <c r="P4" s="85" t="s">
        <v>39</v>
      </c>
      <c r="Q4" s="87">
        <v>1</v>
      </c>
      <c r="R4" s="85" t="s">
        <v>85</v>
      </c>
      <c r="S4" s="87">
        <v>1</v>
      </c>
      <c r="T4" s="86" t="s">
        <v>34</v>
      </c>
      <c r="W4" s="51"/>
      <c r="Y4" s="40"/>
      <c r="AA4" s="88"/>
      <c r="AB4" s="181"/>
      <c r="AC4" s="85" t="s">
        <v>39</v>
      </c>
      <c r="AD4" s="87">
        <v>1</v>
      </c>
      <c r="AE4" s="85" t="s">
        <v>85</v>
      </c>
      <c r="AF4" s="87">
        <v>1</v>
      </c>
      <c r="AG4" s="86" t="s">
        <v>34</v>
      </c>
      <c r="AJ4" s="51"/>
    </row>
    <row r="5" spans="1:38" ht="20.100000000000001" customHeight="1" thickTop="1" x14ac:dyDescent="0.3">
      <c r="A5" s="23"/>
      <c r="D5" s="24"/>
      <c r="N5" s="23"/>
      <c r="Q5" s="24"/>
      <c r="AA5" s="23"/>
      <c r="AD5" s="24"/>
    </row>
    <row r="6" spans="1:38" s="37" customFormat="1" ht="37.5" customHeight="1" thickBot="1" x14ac:dyDescent="0.35">
      <c r="A6" s="173" t="s">
        <v>116</v>
      </c>
      <c r="B6" s="174"/>
      <c r="C6" s="42">
        <v>1</v>
      </c>
      <c r="E6" s="34"/>
      <c r="F6" s="34"/>
      <c r="G6" s="34"/>
      <c r="H6" s="34"/>
      <c r="I6" s="34"/>
      <c r="J6" s="34"/>
      <c r="L6" s="38"/>
      <c r="N6" s="173" t="s">
        <v>124</v>
      </c>
      <c r="O6" s="173"/>
      <c r="P6" s="43">
        <v>0.66666666666666663</v>
      </c>
      <c r="R6" s="34"/>
      <c r="S6" s="34"/>
      <c r="T6" s="34"/>
      <c r="U6" s="34"/>
      <c r="V6" s="34"/>
      <c r="W6" s="34"/>
      <c r="Y6" s="38"/>
      <c r="AA6" s="173" t="s">
        <v>125</v>
      </c>
      <c r="AB6" s="173"/>
      <c r="AC6" s="43">
        <v>0.5</v>
      </c>
      <c r="AE6" s="34"/>
      <c r="AF6" s="34"/>
      <c r="AG6" s="34"/>
      <c r="AH6" s="34"/>
      <c r="AI6" s="34"/>
      <c r="AJ6" s="34"/>
      <c r="AL6" s="44"/>
    </row>
    <row r="7" spans="1:38" s="37" customFormat="1" ht="23.25" customHeight="1" thickTop="1" x14ac:dyDescent="0.3">
      <c r="A7" s="149"/>
      <c r="B7" s="149" t="s">
        <v>36</v>
      </c>
      <c r="C7" s="149" t="s">
        <v>106</v>
      </c>
      <c r="D7" s="149"/>
      <c r="E7" s="148" t="s">
        <v>60</v>
      </c>
      <c r="F7" s="149" t="s">
        <v>121</v>
      </c>
      <c r="G7" s="149"/>
      <c r="H7" s="149"/>
      <c r="I7" s="150"/>
      <c r="J7" s="175" t="s">
        <v>44</v>
      </c>
      <c r="L7" s="38"/>
      <c r="N7" s="149"/>
      <c r="O7" s="149" t="s">
        <v>36</v>
      </c>
      <c r="P7" s="149" t="s">
        <v>106</v>
      </c>
      <c r="Q7" s="149"/>
      <c r="R7" s="148" t="s">
        <v>29</v>
      </c>
      <c r="S7" s="149" t="s">
        <v>121</v>
      </c>
      <c r="T7" s="149"/>
      <c r="U7" s="149"/>
      <c r="V7" s="150"/>
      <c r="W7" s="175" t="s">
        <v>44</v>
      </c>
      <c r="Y7" s="38"/>
      <c r="AA7" s="149"/>
      <c r="AB7" s="149" t="s">
        <v>36</v>
      </c>
      <c r="AC7" s="149" t="s">
        <v>106</v>
      </c>
      <c r="AD7" s="149"/>
      <c r="AE7" s="148" t="s">
        <v>29</v>
      </c>
      <c r="AF7" s="149" t="s">
        <v>121</v>
      </c>
      <c r="AG7" s="149"/>
      <c r="AH7" s="149"/>
      <c r="AI7" s="150"/>
      <c r="AJ7" s="175" t="s">
        <v>44</v>
      </c>
      <c r="AL7" s="44"/>
    </row>
    <row r="8" spans="1:38" ht="20.25" customHeight="1" x14ac:dyDescent="0.3">
      <c r="A8" s="149"/>
      <c r="B8" s="149"/>
      <c r="C8" s="65" t="s">
        <v>104</v>
      </c>
      <c r="D8" s="65" t="s">
        <v>105</v>
      </c>
      <c r="E8" s="148"/>
      <c r="F8" s="65" t="s">
        <v>102</v>
      </c>
      <c r="G8" s="65" t="s">
        <v>103</v>
      </c>
      <c r="H8" s="65" t="s">
        <v>104</v>
      </c>
      <c r="I8" s="73" t="s">
        <v>105</v>
      </c>
      <c r="J8" s="176"/>
      <c r="K8" s="34"/>
      <c r="L8" s="35"/>
      <c r="M8" s="36"/>
      <c r="N8" s="149"/>
      <c r="O8" s="149"/>
      <c r="P8" s="65" t="s">
        <v>104</v>
      </c>
      <c r="Q8" s="65" t="s">
        <v>105</v>
      </c>
      <c r="R8" s="148"/>
      <c r="S8" s="65" t="s">
        <v>102</v>
      </c>
      <c r="T8" s="65" t="s">
        <v>103</v>
      </c>
      <c r="U8" s="65" t="s">
        <v>104</v>
      </c>
      <c r="V8" s="73" t="s">
        <v>105</v>
      </c>
      <c r="W8" s="176"/>
      <c r="X8" s="34"/>
      <c r="Y8" s="35"/>
      <c r="Z8" s="36"/>
      <c r="AA8" s="149"/>
      <c r="AB8" s="149"/>
      <c r="AC8" s="65" t="s">
        <v>104</v>
      </c>
      <c r="AD8" s="65" t="s">
        <v>105</v>
      </c>
      <c r="AE8" s="148"/>
      <c r="AF8" s="65" t="s">
        <v>102</v>
      </c>
      <c r="AG8" s="65" t="s">
        <v>103</v>
      </c>
      <c r="AH8" s="65" t="s">
        <v>104</v>
      </c>
      <c r="AI8" s="73" t="s">
        <v>105</v>
      </c>
      <c r="AJ8" s="176"/>
      <c r="AK8" s="89"/>
      <c r="AL8" s="33"/>
    </row>
    <row r="9" spans="1:38" ht="24.95" customHeight="1" x14ac:dyDescent="0.3">
      <c r="A9" s="144" t="s">
        <v>9</v>
      </c>
      <c r="B9" s="66" t="s">
        <v>59</v>
      </c>
      <c r="C9" s="66">
        <f>IF(COUNTA($E$9:$E$10)&gt;1,$D9/5,600)</f>
        <v>600</v>
      </c>
      <c r="D9" s="66">
        <v>1500</v>
      </c>
      <c r="E9" s="68">
        <v>180</v>
      </c>
      <c r="F9" s="66">
        <f t="shared" ref="F9:F35" si="0">IF(E9&lt;&gt;"",$E9*$D$4,"-")</f>
        <v>360</v>
      </c>
      <c r="G9" s="66">
        <f>IF(E9&lt;&gt;"",$E9*$F$4,"-")</f>
        <v>360</v>
      </c>
      <c r="H9" s="66">
        <f t="shared" ref="H9:H35" si="1">IF(E9&lt;&gt;"",$F9*$D$3,"-")</f>
        <v>1080</v>
      </c>
      <c r="I9" s="74">
        <f>IF(E9&lt;&gt;"",$G9*$D$3,"-")</f>
        <v>1080</v>
      </c>
      <c r="J9" s="75" t="str">
        <f>IF(E9="","",IF(AND(H9&gt;=C9,I9&lt;=D9),"O","X"))</f>
        <v>O</v>
      </c>
      <c r="K9" s="37"/>
      <c r="L9" s="38"/>
      <c r="M9" s="37"/>
      <c r="N9" s="144" t="s">
        <v>9</v>
      </c>
      <c r="O9" s="66" t="s">
        <v>0</v>
      </c>
      <c r="P9" s="134">
        <f>C9*$P$6</f>
        <v>400</v>
      </c>
      <c r="Q9" s="134">
        <f>D9*$P$6</f>
        <v>1000</v>
      </c>
      <c r="R9" s="78">
        <f>IF(E9&lt;&gt;"",E9,"")</f>
        <v>180</v>
      </c>
      <c r="S9" s="66">
        <f t="shared" ref="S9:S37" si="2">IF(R9&lt;&gt;"",$E9*$Q$4,"-")</f>
        <v>180</v>
      </c>
      <c r="T9" s="66">
        <f>IF(R9&lt;&gt;"",$E9*$S$4,"-")</f>
        <v>180</v>
      </c>
      <c r="U9" s="66">
        <f t="shared" ref="U9:U37" si="3">IF(R9&lt;&gt;"",$S9*$Q$3,"-")</f>
        <v>540</v>
      </c>
      <c r="V9" s="74">
        <f>IF(R9&lt;&gt;"",$T9*$Q$3,"-")</f>
        <v>540</v>
      </c>
      <c r="W9" s="75" t="str">
        <f>IF(R9="","",IF(AND(U9&gt;=P9,V9&lt;=Q9),"O","X"))</f>
        <v>O</v>
      </c>
      <c r="X9" s="37"/>
      <c r="Y9" s="38"/>
      <c r="Z9" s="37"/>
      <c r="AA9" s="144" t="s">
        <v>9</v>
      </c>
      <c r="AB9" s="66" t="s">
        <v>0</v>
      </c>
      <c r="AC9" s="134">
        <f>C9*$AC$6</f>
        <v>300</v>
      </c>
      <c r="AD9" s="134">
        <f t="shared" ref="AD9:AD37" si="4">D9*$AC$6</f>
        <v>750</v>
      </c>
      <c r="AE9" s="78">
        <f t="shared" ref="AE9:AE37" si="5">IF(R9&lt;&gt;"",R9,"")</f>
        <v>180</v>
      </c>
      <c r="AF9" s="66">
        <f t="shared" ref="AF9:AF37" si="6">IF(AE9&lt;&gt;"",$E9*$AD$4,"-")</f>
        <v>180</v>
      </c>
      <c r="AG9" s="66">
        <f t="shared" ref="AG9:AG37" si="7">IF(AE9&lt;&gt;"",$E9*$AF$4,"-")</f>
        <v>180</v>
      </c>
      <c r="AH9" s="66">
        <f t="shared" ref="AH9:AH37" si="8">IF(AE9&lt;&gt;"",$AF9*$AD$3,"-")</f>
        <v>540</v>
      </c>
      <c r="AI9" s="74">
        <f t="shared" ref="AI9:AI37" si="9">IF(AE9&lt;&gt;"",$AG9*$AD$3,"-")</f>
        <v>540</v>
      </c>
      <c r="AJ9" s="75" t="str">
        <f>IF(AE9="","",IF(AND(AH9&gt;=AC9,AI9&lt;=AD9),"O","X"))</f>
        <v>O</v>
      </c>
      <c r="AK9" s="32"/>
      <c r="AL9" s="32"/>
    </row>
    <row r="10" spans="1:38" ht="24.95" customHeight="1" x14ac:dyDescent="0.3">
      <c r="A10" s="144"/>
      <c r="B10" s="66" t="s">
        <v>61</v>
      </c>
      <c r="C10" s="66">
        <f>IF(COUNTA($E$9:$E$10)&gt;1,$D10/5,$D10/2)</f>
        <v>750</v>
      </c>
      <c r="D10" s="66">
        <v>1500</v>
      </c>
      <c r="E10" s="68"/>
      <c r="F10" s="66" t="str">
        <f>IF(E10&lt;&gt;"",$E10*$D$4,"-")</f>
        <v>-</v>
      </c>
      <c r="G10" s="66" t="str">
        <f>IF(E10&lt;&gt;"",$E10*$F$4,"-")</f>
        <v>-</v>
      </c>
      <c r="H10" s="66" t="str">
        <f t="shared" si="1"/>
        <v>-</v>
      </c>
      <c r="I10" s="74" t="str">
        <f t="shared" ref="I10:I35" si="10">IF(E10&lt;&gt;"",$G10*$D$3,"-")</f>
        <v>-</v>
      </c>
      <c r="J10" s="75" t="str">
        <f t="shared" ref="J10" si="11">IF(E10="","",IF(AND(H10&gt;=C10,I10&lt;=D10),"O","X"))</f>
        <v/>
      </c>
      <c r="K10" s="37"/>
      <c r="L10" s="38"/>
      <c r="M10" s="37"/>
      <c r="N10" s="144"/>
      <c r="O10" s="66" t="s">
        <v>1</v>
      </c>
      <c r="P10" s="134">
        <f t="shared" ref="P10:P37" si="12">C10*$P$6</f>
        <v>500</v>
      </c>
      <c r="Q10" s="134">
        <f t="shared" ref="Q10:Q37" si="13">D10*$P$6</f>
        <v>1000</v>
      </c>
      <c r="R10" s="78" t="str">
        <f>IF(E10&lt;&gt;"",E10,"")</f>
        <v/>
      </c>
      <c r="S10" s="66" t="str">
        <f t="shared" si="2"/>
        <v>-</v>
      </c>
      <c r="T10" s="66" t="str">
        <f t="shared" ref="T10:T37" si="14">IF(R10&lt;&gt;"",$E10*$S$4,"-")</f>
        <v>-</v>
      </c>
      <c r="U10" s="66" t="str">
        <f t="shared" si="3"/>
        <v>-</v>
      </c>
      <c r="V10" s="74" t="str">
        <f t="shared" ref="V10:V37" si="15">IF(R10&lt;&gt;"",$T10*$Q$3,"-")</f>
        <v>-</v>
      </c>
      <c r="W10" s="75" t="str">
        <f t="shared" ref="W10:W37" si="16">IF(R10="","",IF(AND(U10&gt;=P10,V10&lt;=Q10),"O","X"))</f>
        <v/>
      </c>
      <c r="X10" s="37"/>
      <c r="Y10" s="38"/>
      <c r="Z10" s="37"/>
      <c r="AA10" s="144"/>
      <c r="AB10" s="66" t="s">
        <v>1</v>
      </c>
      <c r="AC10" s="134">
        <f t="shared" ref="AC10:AC37" si="17">C10*$AC$6</f>
        <v>375</v>
      </c>
      <c r="AD10" s="134">
        <f t="shared" si="4"/>
        <v>750</v>
      </c>
      <c r="AE10" s="78" t="str">
        <f t="shared" si="5"/>
        <v/>
      </c>
      <c r="AF10" s="66" t="str">
        <f t="shared" si="6"/>
        <v>-</v>
      </c>
      <c r="AG10" s="66" t="str">
        <f>IF(AE10&lt;&gt;"",$E10*$AF$4,"-")</f>
        <v>-</v>
      </c>
      <c r="AH10" s="66" t="str">
        <f t="shared" si="8"/>
        <v>-</v>
      </c>
      <c r="AI10" s="74" t="str">
        <f t="shared" si="9"/>
        <v>-</v>
      </c>
      <c r="AJ10" s="75" t="str">
        <f t="shared" ref="AJ10:AJ37" si="18">IF(AE10="","",IF(AND(AH10&gt;=AC10,AI10&lt;=AD10),"O","X"))</f>
        <v/>
      </c>
      <c r="AK10" s="32"/>
      <c r="AL10" s="32"/>
    </row>
    <row r="11" spans="1:38" ht="24.95" customHeight="1" x14ac:dyDescent="0.3">
      <c r="A11" s="77" t="s">
        <v>10</v>
      </c>
      <c r="B11" s="66" t="s">
        <v>62</v>
      </c>
      <c r="C11" s="66">
        <f>D11/2</f>
        <v>225</v>
      </c>
      <c r="D11" s="66">
        <v>450</v>
      </c>
      <c r="E11" s="68"/>
      <c r="F11" s="66" t="str">
        <f>IF(E11&lt;&gt;"",$E11*$D$4,"-")</f>
        <v>-</v>
      </c>
      <c r="G11" s="66" t="str">
        <f>IF(E11&lt;&gt;"",$E11*$F$4,"-")</f>
        <v>-</v>
      </c>
      <c r="H11" s="66" t="str">
        <f>IF(E11&lt;&gt;"",$F11*$D$3,"-")</f>
        <v>-</v>
      </c>
      <c r="I11" s="74" t="str">
        <f>IF(E11&lt;&gt;"",$G11*$D$3,"-")</f>
        <v>-</v>
      </c>
      <c r="J11" s="75" t="str">
        <f>IF(E11="","",IF(AND(H11&gt;=C11,I11&lt;=D11),"O","X"))</f>
        <v/>
      </c>
      <c r="K11" s="37"/>
      <c r="L11" s="38"/>
      <c r="M11" s="37"/>
      <c r="N11" s="77" t="s">
        <v>10</v>
      </c>
      <c r="O11" s="66" t="s">
        <v>62</v>
      </c>
      <c r="P11" s="134">
        <f t="shared" si="12"/>
        <v>150</v>
      </c>
      <c r="Q11" s="134">
        <f t="shared" si="13"/>
        <v>300</v>
      </c>
      <c r="R11" s="78" t="str">
        <f t="shared" ref="R11" si="19">IF(E11&lt;&gt;"",E11,"")</f>
        <v/>
      </c>
      <c r="S11" s="66" t="str">
        <f t="shared" ref="S11" si="20">IF(R11&lt;&gt;"",$E11*$Q$4,"-")</f>
        <v>-</v>
      </c>
      <c r="T11" s="66" t="str">
        <f t="shared" ref="T11" si="21">IF(R11&lt;&gt;"",$E11*$S$4,"-")</f>
        <v>-</v>
      </c>
      <c r="U11" s="66" t="str">
        <f t="shared" ref="U11" si="22">IF(R11&lt;&gt;"",$S11*$Q$3,"-")</f>
        <v>-</v>
      </c>
      <c r="V11" s="74" t="str">
        <f t="shared" ref="V11" si="23">IF(R11&lt;&gt;"",$T11*$Q$3,"-")</f>
        <v>-</v>
      </c>
      <c r="W11" s="75" t="str">
        <f t="shared" ref="W11" si="24">IF(R11="","",IF(AND(U11&gt;=P11,V11&lt;=Q11),"O","X"))</f>
        <v/>
      </c>
      <c r="X11" s="37"/>
      <c r="Y11" s="38"/>
      <c r="Z11" s="37"/>
      <c r="AA11" s="77" t="s">
        <v>10</v>
      </c>
      <c r="AB11" s="66" t="s">
        <v>62</v>
      </c>
      <c r="AC11" s="134">
        <f t="shared" si="17"/>
        <v>112.5</v>
      </c>
      <c r="AD11" s="134">
        <f t="shared" si="4"/>
        <v>225</v>
      </c>
      <c r="AE11" s="78" t="str">
        <f>IF(R11&lt;&gt;"",R11,"")</f>
        <v/>
      </c>
      <c r="AF11" s="66" t="str">
        <f t="shared" ref="AF11" si="25">IF(AE11&lt;&gt;"",$E11*$AD$4,"-")</f>
        <v>-</v>
      </c>
      <c r="AG11" s="66" t="str">
        <f t="shared" ref="AG11" si="26">IF(AE11&lt;&gt;"",$E11*$AF$4,"-")</f>
        <v>-</v>
      </c>
      <c r="AH11" s="66" t="str">
        <f t="shared" ref="AH11" si="27">IF(AE11&lt;&gt;"",$AF11*$AD$3,"-")</f>
        <v>-</v>
      </c>
      <c r="AI11" s="74" t="str">
        <f t="shared" ref="AI11" si="28">IF(AE11&lt;&gt;"",$AG11*$AD$3,"-")</f>
        <v>-</v>
      </c>
      <c r="AJ11" s="75" t="str">
        <f t="shared" ref="AJ11" si="29">IF(AE11="","",IF(AND(AH11&gt;=AC11,AI11&lt;=AD11),"O","X"))</f>
        <v/>
      </c>
      <c r="AK11" s="32"/>
      <c r="AL11" s="32"/>
    </row>
    <row r="12" spans="1:38" ht="24.95" customHeight="1" x14ac:dyDescent="0.3">
      <c r="A12" s="178" t="s">
        <v>11</v>
      </c>
      <c r="B12" s="66" t="s">
        <v>2</v>
      </c>
      <c r="C12" s="66">
        <f t="shared" ref="C12:C30" si="30">D12/2</f>
        <v>1.75</v>
      </c>
      <c r="D12" s="66">
        <v>3.5</v>
      </c>
      <c r="E12" s="68"/>
      <c r="F12" s="66" t="str">
        <f t="shared" si="0"/>
        <v>-</v>
      </c>
      <c r="G12" s="66" t="str">
        <f t="shared" ref="G12:G35" si="31">IF(E12&lt;&gt;"",$E12*$F$4,"-")</f>
        <v>-</v>
      </c>
      <c r="H12" s="66" t="str">
        <f t="shared" si="1"/>
        <v>-</v>
      </c>
      <c r="I12" s="74" t="str">
        <f t="shared" si="10"/>
        <v>-</v>
      </c>
      <c r="J12" s="75" t="str">
        <f t="shared" ref="J12:J36" si="32">IF(E12="","",IF(AND(H12&gt;=C12,I12&lt;=D12),"O","X"))</f>
        <v/>
      </c>
      <c r="K12" s="37"/>
      <c r="L12" s="38"/>
      <c r="M12" s="37"/>
      <c r="N12" s="178" t="s">
        <v>11</v>
      </c>
      <c r="O12" s="66" t="s">
        <v>2</v>
      </c>
      <c r="P12" s="134">
        <f t="shared" si="12"/>
        <v>1.1666666666666665</v>
      </c>
      <c r="Q12" s="134">
        <f t="shared" si="13"/>
        <v>2.333333333333333</v>
      </c>
      <c r="R12" s="78" t="str">
        <f t="shared" ref="R12:R37" si="33">IF(E12&lt;&gt;"",E12,"")</f>
        <v/>
      </c>
      <c r="S12" s="66" t="str">
        <f t="shared" si="2"/>
        <v>-</v>
      </c>
      <c r="T12" s="66" t="str">
        <f t="shared" si="14"/>
        <v>-</v>
      </c>
      <c r="U12" s="66" t="str">
        <f t="shared" si="3"/>
        <v>-</v>
      </c>
      <c r="V12" s="74" t="str">
        <f t="shared" si="15"/>
        <v>-</v>
      </c>
      <c r="W12" s="75" t="str">
        <f t="shared" si="16"/>
        <v/>
      </c>
      <c r="X12" s="37"/>
      <c r="Y12" s="38"/>
      <c r="Z12" s="37"/>
      <c r="AA12" s="178" t="s">
        <v>11</v>
      </c>
      <c r="AB12" s="66" t="s">
        <v>2</v>
      </c>
      <c r="AC12" s="134">
        <f t="shared" si="17"/>
        <v>0.875</v>
      </c>
      <c r="AD12" s="134">
        <f t="shared" si="4"/>
        <v>1.75</v>
      </c>
      <c r="AE12" s="78" t="str">
        <f t="shared" si="5"/>
        <v/>
      </c>
      <c r="AF12" s="66" t="str">
        <f t="shared" si="6"/>
        <v>-</v>
      </c>
      <c r="AG12" s="66" t="str">
        <f t="shared" si="7"/>
        <v>-</v>
      </c>
      <c r="AH12" s="66" t="str">
        <f t="shared" si="8"/>
        <v>-</v>
      </c>
      <c r="AI12" s="74" t="str">
        <f t="shared" si="9"/>
        <v>-</v>
      </c>
      <c r="AJ12" s="75" t="str">
        <f t="shared" si="18"/>
        <v/>
      </c>
      <c r="AK12" s="23"/>
      <c r="AL12" s="23"/>
    </row>
    <row r="13" spans="1:38" ht="24.95" customHeight="1" x14ac:dyDescent="0.3">
      <c r="A13" s="179"/>
      <c r="B13" s="66" t="s">
        <v>58</v>
      </c>
      <c r="C13" s="66">
        <f>D13/2</f>
        <v>3.75</v>
      </c>
      <c r="D13" s="66">
        <v>7.5</v>
      </c>
      <c r="E13" s="68"/>
      <c r="F13" s="66" t="str">
        <f t="shared" si="0"/>
        <v>-</v>
      </c>
      <c r="G13" s="66" t="str">
        <f t="shared" si="31"/>
        <v>-</v>
      </c>
      <c r="H13" s="66" t="str">
        <f t="shared" si="1"/>
        <v>-</v>
      </c>
      <c r="I13" s="74" t="str">
        <f t="shared" si="10"/>
        <v>-</v>
      </c>
      <c r="J13" s="75" t="str">
        <f t="shared" si="32"/>
        <v/>
      </c>
      <c r="K13" s="37"/>
      <c r="L13" s="38"/>
      <c r="M13" s="37"/>
      <c r="N13" s="179"/>
      <c r="O13" s="66" t="s">
        <v>3</v>
      </c>
      <c r="P13" s="134">
        <f t="shared" si="12"/>
        <v>2.5</v>
      </c>
      <c r="Q13" s="134">
        <f t="shared" si="13"/>
        <v>5</v>
      </c>
      <c r="R13" s="78" t="str">
        <f t="shared" si="33"/>
        <v/>
      </c>
      <c r="S13" s="66" t="str">
        <f t="shared" si="2"/>
        <v>-</v>
      </c>
      <c r="T13" s="66" t="str">
        <f t="shared" si="14"/>
        <v>-</v>
      </c>
      <c r="U13" s="66" t="str">
        <f t="shared" si="3"/>
        <v>-</v>
      </c>
      <c r="V13" s="74" t="str">
        <f t="shared" si="15"/>
        <v>-</v>
      </c>
      <c r="W13" s="75" t="str">
        <f t="shared" si="16"/>
        <v/>
      </c>
      <c r="X13" s="37"/>
      <c r="Y13" s="38"/>
      <c r="Z13" s="37"/>
      <c r="AA13" s="179"/>
      <c r="AB13" s="66" t="s">
        <v>3</v>
      </c>
      <c r="AC13" s="134">
        <f t="shared" si="17"/>
        <v>1.875</v>
      </c>
      <c r="AD13" s="134">
        <f t="shared" si="4"/>
        <v>3.75</v>
      </c>
      <c r="AE13" s="78" t="str">
        <f t="shared" si="5"/>
        <v/>
      </c>
      <c r="AF13" s="66" t="str">
        <f t="shared" si="6"/>
        <v>-</v>
      </c>
      <c r="AG13" s="66" t="str">
        <f t="shared" si="7"/>
        <v>-</v>
      </c>
      <c r="AH13" s="66" t="str">
        <f t="shared" si="8"/>
        <v>-</v>
      </c>
      <c r="AI13" s="74" t="str">
        <f t="shared" si="9"/>
        <v>-</v>
      </c>
      <c r="AJ13" s="75" t="str">
        <f t="shared" si="18"/>
        <v/>
      </c>
      <c r="AK13" s="23"/>
      <c r="AL13" s="23"/>
    </row>
    <row r="14" spans="1:38" ht="24.95" customHeight="1" x14ac:dyDescent="0.3">
      <c r="A14" s="179"/>
      <c r="B14" s="66" t="s">
        <v>57</v>
      </c>
      <c r="C14" s="66">
        <f t="shared" si="30"/>
        <v>3.75</v>
      </c>
      <c r="D14" s="66">
        <v>7.5</v>
      </c>
      <c r="E14" s="68"/>
      <c r="F14" s="66" t="str">
        <f t="shared" si="0"/>
        <v>-</v>
      </c>
      <c r="G14" s="66" t="str">
        <f t="shared" si="31"/>
        <v>-</v>
      </c>
      <c r="H14" s="66" t="str">
        <f t="shared" si="1"/>
        <v>-</v>
      </c>
      <c r="I14" s="74" t="str">
        <f t="shared" si="10"/>
        <v>-</v>
      </c>
      <c r="J14" s="75" t="str">
        <f t="shared" si="32"/>
        <v/>
      </c>
      <c r="K14" s="37"/>
      <c r="L14" s="38"/>
      <c r="M14" s="37"/>
      <c r="N14" s="179"/>
      <c r="O14" s="66" t="s">
        <v>4</v>
      </c>
      <c r="P14" s="134">
        <f t="shared" si="12"/>
        <v>2.5</v>
      </c>
      <c r="Q14" s="134">
        <f t="shared" si="13"/>
        <v>5</v>
      </c>
      <c r="R14" s="78" t="str">
        <f t="shared" si="33"/>
        <v/>
      </c>
      <c r="S14" s="66" t="str">
        <f t="shared" si="2"/>
        <v>-</v>
      </c>
      <c r="T14" s="66" t="str">
        <f t="shared" si="14"/>
        <v>-</v>
      </c>
      <c r="U14" s="66" t="str">
        <f t="shared" si="3"/>
        <v>-</v>
      </c>
      <c r="V14" s="74" t="str">
        <f t="shared" si="15"/>
        <v>-</v>
      </c>
      <c r="W14" s="75" t="str">
        <f t="shared" si="16"/>
        <v/>
      </c>
      <c r="X14" s="37"/>
      <c r="Y14" s="38"/>
      <c r="Z14" s="37"/>
      <c r="AA14" s="179"/>
      <c r="AB14" s="66" t="s">
        <v>4</v>
      </c>
      <c r="AC14" s="134">
        <f t="shared" si="17"/>
        <v>1.875</v>
      </c>
      <c r="AD14" s="134">
        <f t="shared" si="4"/>
        <v>3.75</v>
      </c>
      <c r="AE14" s="78" t="str">
        <f t="shared" si="5"/>
        <v/>
      </c>
      <c r="AF14" s="66" t="str">
        <f t="shared" si="6"/>
        <v>-</v>
      </c>
      <c r="AG14" s="66" t="str">
        <f t="shared" si="7"/>
        <v>-</v>
      </c>
      <c r="AH14" s="66" t="str">
        <f t="shared" si="8"/>
        <v>-</v>
      </c>
      <c r="AI14" s="74" t="str">
        <f t="shared" si="9"/>
        <v>-</v>
      </c>
      <c r="AJ14" s="75" t="str">
        <f t="shared" si="18"/>
        <v/>
      </c>
      <c r="AK14" s="23"/>
      <c r="AL14" s="23"/>
    </row>
    <row r="15" spans="1:38" ht="24.95" customHeight="1" x14ac:dyDescent="0.3">
      <c r="A15" s="179"/>
      <c r="B15" s="66" t="s">
        <v>5</v>
      </c>
      <c r="C15" s="66">
        <f t="shared" si="30"/>
        <v>2</v>
      </c>
      <c r="D15" s="66">
        <v>4</v>
      </c>
      <c r="E15" s="68">
        <v>0.66</v>
      </c>
      <c r="F15" s="66">
        <f t="shared" si="0"/>
        <v>1.32</v>
      </c>
      <c r="G15" s="66">
        <f t="shared" si="31"/>
        <v>1.32</v>
      </c>
      <c r="H15" s="66">
        <f t="shared" si="1"/>
        <v>3.96</v>
      </c>
      <c r="I15" s="74">
        <f t="shared" si="10"/>
        <v>3.96</v>
      </c>
      <c r="J15" s="75" t="str">
        <f t="shared" si="32"/>
        <v>O</v>
      </c>
      <c r="K15" s="37"/>
      <c r="L15" s="38"/>
      <c r="M15" s="37"/>
      <c r="N15" s="179"/>
      <c r="O15" s="66" t="s">
        <v>5</v>
      </c>
      <c r="P15" s="134">
        <f t="shared" si="12"/>
        <v>1.3333333333333333</v>
      </c>
      <c r="Q15" s="134">
        <f t="shared" si="13"/>
        <v>2.6666666666666665</v>
      </c>
      <c r="R15" s="78">
        <f t="shared" si="33"/>
        <v>0.66</v>
      </c>
      <c r="S15" s="66">
        <f t="shared" si="2"/>
        <v>0.66</v>
      </c>
      <c r="T15" s="66">
        <f t="shared" si="14"/>
        <v>0.66</v>
      </c>
      <c r="U15" s="66">
        <f t="shared" si="3"/>
        <v>1.98</v>
      </c>
      <c r="V15" s="74">
        <f t="shared" si="15"/>
        <v>1.98</v>
      </c>
      <c r="W15" s="75" t="str">
        <f t="shared" si="16"/>
        <v>O</v>
      </c>
      <c r="X15" s="37"/>
      <c r="Y15" s="38"/>
      <c r="Z15" s="37"/>
      <c r="AA15" s="179"/>
      <c r="AB15" s="66" t="s">
        <v>5</v>
      </c>
      <c r="AC15" s="134">
        <f t="shared" si="17"/>
        <v>1</v>
      </c>
      <c r="AD15" s="134">
        <f t="shared" si="4"/>
        <v>2</v>
      </c>
      <c r="AE15" s="78">
        <f t="shared" si="5"/>
        <v>0.66</v>
      </c>
      <c r="AF15" s="66">
        <f t="shared" si="6"/>
        <v>0.66</v>
      </c>
      <c r="AG15" s="66">
        <f t="shared" si="7"/>
        <v>0.66</v>
      </c>
      <c r="AH15" s="66">
        <f t="shared" si="8"/>
        <v>1.98</v>
      </c>
      <c r="AI15" s="74">
        <f t="shared" si="9"/>
        <v>1.98</v>
      </c>
      <c r="AJ15" s="75" t="str">
        <f t="shared" si="18"/>
        <v>O</v>
      </c>
      <c r="AK15" s="23"/>
      <c r="AL15" s="23"/>
    </row>
    <row r="16" spans="1:38" ht="24.95" customHeight="1" x14ac:dyDescent="0.3">
      <c r="A16" s="179"/>
      <c r="B16" s="66" t="s">
        <v>72</v>
      </c>
      <c r="C16" s="66">
        <f t="shared" si="30"/>
        <v>37.5</v>
      </c>
      <c r="D16" s="66">
        <v>75</v>
      </c>
      <c r="E16" s="68"/>
      <c r="F16" s="66" t="str">
        <f t="shared" si="0"/>
        <v>-</v>
      </c>
      <c r="G16" s="66" t="str">
        <f t="shared" si="31"/>
        <v>-</v>
      </c>
      <c r="H16" s="66" t="str">
        <f t="shared" si="1"/>
        <v>-</v>
      </c>
      <c r="I16" s="74" t="str">
        <f t="shared" si="10"/>
        <v>-</v>
      </c>
      <c r="J16" s="75" t="str">
        <f t="shared" si="32"/>
        <v/>
      </c>
      <c r="K16" s="37"/>
      <c r="L16" s="38"/>
      <c r="M16" s="37"/>
      <c r="N16" s="179"/>
      <c r="O16" s="66" t="s">
        <v>72</v>
      </c>
      <c r="P16" s="134">
        <f t="shared" si="12"/>
        <v>25</v>
      </c>
      <c r="Q16" s="134">
        <f t="shared" si="13"/>
        <v>50</v>
      </c>
      <c r="R16" s="78" t="str">
        <f t="shared" si="33"/>
        <v/>
      </c>
      <c r="S16" s="66" t="str">
        <f t="shared" si="2"/>
        <v>-</v>
      </c>
      <c r="T16" s="66" t="str">
        <f t="shared" si="14"/>
        <v>-</v>
      </c>
      <c r="U16" s="66" t="str">
        <f t="shared" si="3"/>
        <v>-</v>
      </c>
      <c r="V16" s="74" t="str">
        <f t="shared" si="15"/>
        <v>-</v>
      </c>
      <c r="W16" s="75" t="str">
        <f t="shared" si="16"/>
        <v/>
      </c>
      <c r="X16" s="37"/>
      <c r="Y16" s="38"/>
      <c r="Z16" s="37"/>
      <c r="AA16" s="179"/>
      <c r="AB16" s="66" t="s">
        <v>72</v>
      </c>
      <c r="AC16" s="134">
        <f t="shared" si="17"/>
        <v>18.75</v>
      </c>
      <c r="AD16" s="134">
        <f t="shared" si="4"/>
        <v>37.5</v>
      </c>
      <c r="AE16" s="78" t="str">
        <f t="shared" si="5"/>
        <v/>
      </c>
      <c r="AF16" s="66" t="str">
        <f t="shared" si="6"/>
        <v>-</v>
      </c>
      <c r="AG16" s="66" t="str">
        <f t="shared" si="7"/>
        <v>-</v>
      </c>
      <c r="AH16" s="66" t="str">
        <f t="shared" si="8"/>
        <v>-</v>
      </c>
      <c r="AI16" s="74" t="str">
        <f t="shared" si="9"/>
        <v>-</v>
      </c>
      <c r="AJ16" s="75" t="str">
        <f t="shared" si="18"/>
        <v/>
      </c>
      <c r="AK16" s="23"/>
      <c r="AL16" s="23"/>
    </row>
    <row r="17" spans="1:38" ht="24.95" customHeight="1" x14ac:dyDescent="0.3">
      <c r="A17" s="179"/>
      <c r="B17" s="66" t="s">
        <v>7</v>
      </c>
      <c r="C17" s="66">
        <f t="shared" si="30"/>
        <v>8</v>
      </c>
      <c r="D17" s="66">
        <v>16</v>
      </c>
      <c r="E17" s="68"/>
      <c r="F17" s="66" t="str">
        <f t="shared" si="0"/>
        <v>-</v>
      </c>
      <c r="G17" s="66" t="str">
        <f t="shared" si="31"/>
        <v>-</v>
      </c>
      <c r="H17" s="66" t="str">
        <f t="shared" si="1"/>
        <v>-</v>
      </c>
      <c r="I17" s="74" t="str">
        <f t="shared" si="10"/>
        <v>-</v>
      </c>
      <c r="J17" s="75" t="str">
        <f t="shared" si="32"/>
        <v/>
      </c>
      <c r="K17" s="37"/>
      <c r="L17" s="38"/>
      <c r="M17" s="37"/>
      <c r="N17" s="179"/>
      <c r="O17" s="66" t="s">
        <v>7</v>
      </c>
      <c r="P17" s="134">
        <f t="shared" si="12"/>
        <v>5.333333333333333</v>
      </c>
      <c r="Q17" s="134">
        <f t="shared" si="13"/>
        <v>10.666666666666666</v>
      </c>
      <c r="R17" s="78" t="str">
        <f t="shared" si="33"/>
        <v/>
      </c>
      <c r="S17" s="66" t="str">
        <f t="shared" si="2"/>
        <v>-</v>
      </c>
      <c r="T17" s="66" t="str">
        <f t="shared" si="14"/>
        <v>-</v>
      </c>
      <c r="U17" s="66" t="str">
        <f t="shared" si="3"/>
        <v>-</v>
      </c>
      <c r="V17" s="74" t="str">
        <f t="shared" si="15"/>
        <v>-</v>
      </c>
      <c r="W17" s="75" t="str">
        <f t="shared" si="16"/>
        <v/>
      </c>
      <c r="X17" s="37"/>
      <c r="Y17" s="38"/>
      <c r="Z17" s="37"/>
      <c r="AA17" s="179"/>
      <c r="AB17" s="66" t="s">
        <v>7</v>
      </c>
      <c r="AC17" s="134">
        <f t="shared" si="17"/>
        <v>4</v>
      </c>
      <c r="AD17" s="134">
        <f t="shared" si="4"/>
        <v>8</v>
      </c>
      <c r="AE17" s="78" t="str">
        <f t="shared" si="5"/>
        <v/>
      </c>
      <c r="AF17" s="66" t="str">
        <f t="shared" si="6"/>
        <v>-</v>
      </c>
      <c r="AG17" s="66" t="str">
        <f t="shared" si="7"/>
        <v>-</v>
      </c>
      <c r="AH17" s="66" t="str">
        <f t="shared" si="8"/>
        <v>-</v>
      </c>
      <c r="AI17" s="74" t="str">
        <f t="shared" si="9"/>
        <v>-</v>
      </c>
      <c r="AJ17" s="75" t="str">
        <f t="shared" si="18"/>
        <v/>
      </c>
      <c r="AK17" s="23"/>
      <c r="AL17" s="23"/>
    </row>
    <row r="18" spans="1:38" ht="24.95" customHeight="1" x14ac:dyDescent="0.3">
      <c r="A18" s="179"/>
      <c r="B18" s="66" t="s">
        <v>73</v>
      </c>
      <c r="C18" s="66">
        <f t="shared" si="30"/>
        <v>25</v>
      </c>
      <c r="D18" s="66">
        <v>50</v>
      </c>
      <c r="E18" s="68"/>
      <c r="F18" s="66" t="str">
        <f t="shared" si="0"/>
        <v>-</v>
      </c>
      <c r="G18" s="66" t="str">
        <f t="shared" si="31"/>
        <v>-</v>
      </c>
      <c r="H18" s="66" t="str">
        <f t="shared" si="1"/>
        <v>-</v>
      </c>
      <c r="I18" s="74" t="str">
        <f t="shared" si="10"/>
        <v>-</v>
      </c>
      <c r="J18" s="75" t="str">
        <f t="shared" si="32"/>
        <v/>
      </c>
      <c r="K18" s="37"/>
      <c r="L18" s="38"/>
      <c r="M18" s="37"/>
      <c r="N18" s="179"/>
      <c r="O18" s="66" t="s">
        <v>73</v>
      </c>
      <c r="P18" s="134">
        <f t="shared" si="12"/>
        <v>16.666666666666664</v>
      </c>
      <c r="Q18" s="134">
        <f t="shared" si="13"/>
        <v>33.333333333333329</v>
      </c>
      <c r="R18" s="78" t="str">
        <f t="shared" si="33"/>
        <v/>
      </c>
      <c r="S18" s="66" t="str">
        <f t="shared" si="2"/>
        <v>-</v>
      </c>
      <c r="T18" s="66" t="str">
        <f t="shared" si="14"/>
        <v>-</v>
      </c>
      <c r="U18" s="66" t="str">
        <f t="shared" si="3"/>
        <v>-</v>
      </c>
      <c r="V18" s="74" t="str">
        <f t="shared" si="15"/>
        <v>-</v>
      </c>
      <c r="W18" s="75" t="str">
        <f t="shared" si="16"/>
        <v/>
      </c>
      <c r="X18" s="37"/>
      <c r="Y18" s="38"/>
      <c r="Z18" s="37"/>
      <c r="AA18" s="179"/>
      <c r="AB18" s="66" t="s">
        <v>73</v>
      </c>
      <c r="AC18" s="134">
        <f t="shared" si="17"/>
        <v>12.5</v>
      </c>
      <c r="AD18" s="134">
        <f t="shared" si="4"/>
        <v>25</v>
      </c>
      <c r="AE18" s="78" t="str">
        <f t="shared" si="5"/>
        <v/>
      </c>
      <c r="AF18" s="66" t="str">
        <f t="shared" si="6"/>
        <v>-</v>
      </c>
      <c r="AG18" s="66" t="str">
        <f t="shared" si="7"/>
        <v>-</v>
      </c>
      <c r="AH18" s="66" t="str">
        <f t="shared" si="8"/>
        <v>-</v>
      </c>
      <c r="AI18" s="74" t="str">
        <f t="shared" si="9"/>
        <v>-</v>
      </c>
      <c r="AJ18" s="75" t="str">
        <f t="shared" si="18"/>
        <v/>
      </c>
      <c r="AK18" s="23"/>
      <c r="AL18" s="23"/>
    </row>
    <row r="19" spans="1:38" ht="24.95" customHeight="1" x14ac:dyDescent="0.3">
      <c r="A19" s="179"/>
      <c r="B19" s="66" t="s">
        <v>173</v>
      </c>
      <c r="C19" s="66">
        <f t="shared" si="30"/>
        <v>37.5</v>
      </c>
      <c r="D19" s="66">
        <v>75</v>
      </c>
      <c r="E19" s="68"/>
      <c r="F19" s="66" t="str">
        <f t="shared" si="0"/>
        <v>-</v>
      </c>
      <c r="G19" s="66" t="str">
        <f t="shared" si="31"/>
        <v>-</v>
      </c>
      <c r="H19" s="66" t="str">
        <f t="shared" si="1"/>
        <v>-</v>
      </c>
      <c r="I19" s="74" t="str">
        <f t="shared" si="10"/>
        <v>-</v>
      </c>
      <c r="J19" s="75" t="str">
        <f t="shared" si="32"/>
        <v/>
      </c>
      <c r="K19" s="37"/>
      <c r="L19" s="38"/>
      <c r="M19" s="37"/>
      <c r="N19" s="179"/>
      <c r="O19" s="66" t="s">
        <v>173</v>
      </c>
      <c r="P19" s="134">
        <f t="shared" si="12"/>
        <v>25</v>
      </c>
      <c r="Q19" s="134">
        <f t="shared" si="13"/>
        <v>50</v>
      </c>
      <c r="R19" s="78" t="str">
        <f t="shared" si="33"/>
        <v/>
      </c>
      <c r="S19" s="66" t="str">
        <f t="shared" si="2"/>
        <v>-</v>
      </c>
      <c r="T19" s="66" t="str">
        <f t="shared" si="14"/>
        <v>-</v>
      </c>
      <c r="U19" s="66" t="str">
        <f t="shared" si="3"/>
        <v>-</v>
      </c>
      <c r="V19" s="74" t="str">
        <f t="shared" si="15"/>
        <v>-</v>
      </c>
      <c r="W19" s="75" t="str">
        <f t="shared" si="16"/>
        <v/>
      </c>
      <c r="X19" s="37"/>
      <c r="Y19" s="38"/>
      <c r="Z19" s="37"/>
      <c r="AA19" s="179"/>
      <c r="AB19" s="66" t="s">
        <v>173</v>
      </c>
      <c r="AC19" s="134">
        <f t="shared" si="17"/>
        <v>18.75</v>
      </c>
      <c r="AD19" s="134">
        <f t="shared" si="4"/>
        <v>37.5</v>
      </c>
      <c r="AE19" s="78" t="str">
        <f t="shared" si="5"/>
        <v/>
      </c>
      <c r="AF19" s="66" t="str">
        <f t="shared" si="6"/>
        <v>-</v>
      </c>
      <c r="AG19" s="66" t="str">
        <f t="shared" si="7"/>
        <v>-</v>
      </c>
      <c r="AH19" s="66" t="str">
        <f t="shared" si="8"/>
        <v>-</v>
      </c>
      <c r="AI19" s="74" t="str">
        <f t="shared" si="9"/>
        <v>-</v>
      </c>
      <c r="AJ19" s="75" t="str">
        <f t="shared" si="18"/>
        <v/>
      </c>
      <c r="AK19" s="23"/>
      <c r="AL19" s="23"/>
    </row>
    <row r="20" spans="1:38" ht="24.95" customHeight="1" x14ac:dyDescent="0.3">
      <c r="A20" s="144" t="s">
        <v>204</v>
      </c>
      <c r="B20" s="66" t="s">
        <v>8</v>
      </c>
      <c r="C20" s="66">
        <f t="shared" si="30"/>
        <v>30</v>
      </c>
      <c r="D20" s="66">
        <v>60</v>
      </c>
      <c r="E20" s="68"/>
      <c r="F20" s="66" t="str">
        <f t="shared" si="0"/>
        <v>-</v>
      </c>
      <c r="G20" s="66" t="str">
        <f t="shared" si="31"/>
        <v>-</v>
      </c>
      <c r="H20" s="66" t="str">
        <f t="shared" si="1"/>
        <v>-</v>
      </c>
      <c r="I20" s="74" t="str">
        <f t="shared" si="10"/>
        <v>-</v>
      </c>
      <c r="J20" s="75" t="str">
        <f t="shared" si="32"/>
        <v/>
      </c>
      <c r="K20" s="37"/>
      <c r="L20" s="38"/>
      <c r="M20" s="37"/>
      <c r="N20" s="144" t="s">
        <v>24</v>
      </c>
      <c r="O20" s="66" t="s">
        <v>8</v>
      </c>
      <c r="P20" s="134">
        <f t="shared" si="12"/>
        <v>20</v>
      </c>
      <c r="Q20" s="134">
        <f t="shared" si="13"/>
        <v>40</v>
      </c>
      <c r="R20" s="78" t="str">
        <f t="shared" si="33"/>
        <v/>
      </c>
      <c r="S20" s="66" t="str">
        <f t="shared" si="2"/>
        <v>-</v>
      </c>
      <c r="T20" s="66" t="str">
        <f t="shared" si="14"/>
        <v>-</v>
      </c>
      <c r="U20" s="66" t="str">
        <f t="shared" si="3"/>
        <v>-</v>
      </c>
      <c r="V20" s="74" t="str">
        <f t="shared" si="15"/>
        <v>-</v>
      </c>
      <c r="W20" s="75" t="str">
        <f t="shared" si="16"/>
        <v/>
      </c>
      <c r="X20" s="37"/>
      <c r="Y20" s="38"/>
      <c r="Z20" s="37"/>
      <c r="AA20" s="144" t="s">
        <v>24</v>
      </c>
      <c r="AB20" s="66" t="s">
        <v>8</v>
      </c>
      <c r="AC20" s="134">
        <f t="shared" si="17"/>
        <v>15</v>
      </c>
      <c r="AD20" s="134">
        <f t="shared" si="4"/>
        <v>30</v>
      </c>
      <c r="AE20" s="78" t="str">
        <f t="shared" si="5"/>
        <v/>
      </c>
      <c r="AF20" s="66" t="str">
        <f t="shared" si="6"/>
        <v>-</v>
      </c>
      <c r="AG20" s="66" t="str">
        <f t="shared" si="7"/>
        <v>-</v>
      </c>
      <c r="AH20" s="66" t="str">
        <f t="shared" si="8"/>
        <v>-</v>
      </c>
      <c r="AI20" s="74" t="str">
        <f t="shared" si="9"/>
        <v>-</v>
      </c>
      <c r="AJ20" s="75" t="str">
        <f t="shared" si="18"/>
        <v/>
      </c>
      <c r="AK20" s="23"/>
      <c r="AL20" s="23"/>
    </row>
    <row r="21" spans="1:38" ht="24.95" customHeight="1" x14ac:dyDescent="0.3">
      <c r="A21" s="144"/>
      <c r="B21" s="66" t="s">
        <v>56</v>
      </c>
      <c r="C21" s="66">
        <f t="shared" si="30"/>
        <v>24</v>
      </c>
      <c r="D21" s="66">
        <v>48</v>
      </c>
      <c r="E21" s="68">
        <v>8</v>
      </c>
      <c r="F21" s="66">
        <f t="shared" si="0"/>
        <v>16</v>
      </c>
      <c r="G21" s="66">
        <f t="shared" si="31"/>
        <v>16</v>
      </c>
      <c r="H21" s="66">
        <f t="shared" si="1"/>
        <v>48</v>
      </c>
      <c r="I21" s="74">
        <f t="shared" si="10"/>
        <v>48</v>
      </c>
      <c r="J21" s="75" t="str">
        <f t="shared" si="32"/>
        <v>O</v>
      </c>
      <c r="K21" s="37"/>
      <c r="L21" s="38"/>
      <c r="M21" s="37"/>
      <c r="N21" s="144"/>
      <c r="O21" s="66" t="s">
        <v>12</v>
      </c>
      <c r="P21" s="134">
        <f t="shared" si="12"/>
        <v>16</v>
      </c>
      <c r="Q21" s="134">
        <f t="shared" si="13"/>
        <v>32</v>
      </c>
      <c r="R21" s="78">
        <f t="shared" si="33"/>
        <v>8</v>
      </c>
      <c r="S21" s="66">
        <f t="shared" si="2"/>
        <v>8</v>
      </c>
      <c r="T21" s="66">
        <f t="shared" si="14"/>
        <v>8</v>
      </c>
      <c r="U21" s="66">
        <f t="shared" si="3"/>
        <v>24</v>
      </c>
      <c r="V21" s="74">
        <f t="shared" si="15"/>
        <v>24</v>
      </c>
      <c r="W21" s="75" t="str">
        <f t="shared" si="16"/>
        <v>O</v>
      </c>
      <c r="X21" s="37"/>
      <c r="Y21" s="38"/>
      <c r="Z21" s="37"/>
      <c r="AA21" s="144"/>
      <c r="AB21" s="66" t="s">
        <v>12</v>
      </c>
      <c r="AC21" s="134">
        <f t="shared" si="17"/>
        <v>12</v>
      </c>
      <c r="AD21" s="134">
        <f t="shared" si="4"/>
        <v>24</v>
      </c>
      <c r="AE21" s="78">
        <f t="shared" si="5"/>
        <v>8</v>
      </c>
      <c r="AF21" s="66">
        <f t="shared" si="6"/>
        <v>8</v>
      </c>
      <c r="AG21" s="66">
        <f t="shared" si="7"/>
        <v>8</v>
      </c>
      <c r="AH21" s="66">
        <f t="shared" si="8"/>
        <v>24</v>
      </c>
      <c r="AI21" s="74">
        <f t="shared" si="9"/>
        <v>24</v>
      </c>
      <c r="AJ21" s="75" t="str">
        <f t="shared" si="18"/>
        <v>O</v>
      </c>
      <c r="AK21" s="23"/>
      <c r="AL21" s="23"/>
    </row>
    <row r="22" spans="1:38" ht="24.95" customHeight="1" x14ac:dyDescent="0.3">
      <c r="A22" s="144"/>
      <c r="B22" s="66" t="s">
        <v>13</v>
      </c>
      <c r="C22" s="66">
        <f t="shared" si="30"/>
        <v>24</v>
      </c>
      <c r="D22" s="66">
        <v>48</v>
      </c>
      <c r="E22" s="68"/>
      <c r="F22" s="66" t="str">
        <f t="shared" si="0"/>
        <v>-</v>
      </c>
      <c r="G22" s="66" t="str">
        <f t="shared" si="31"/>
        <v>-</v>
      </c>
      <c r="H22" s="66" t="str">
        <f t="shared" si="1"/>
        <v>-</v>
      </c>
      <c r="I22" s="74" t="str">
        <f t="shared" si="10"/>
        <v>-</v>
      </c>
      <c r="J22" s="75" t="str">
        <f t="shared" si="32"/>
        <v/>
      </c>
      <c r="K22" s="37"/>
      <c r="L22" s="38"/>
      <c r="M22" s="37"/>
      <c r="N22" s="144"/>
      <c r="O22" s="66" t="s">
        <v>13</v>
      </c>
      <c r="P22" s="134">
        <f t="shared" si="12"/>
        <v>16</v>
      </c>
      <c r="Q22" s="134">
        <f t="shared" si="13"/>
        <v>32</v>
      </c>
      <c r="R22" s="78" t="str">
        <f t="shared" si="33"/>
        <v/>
      </c>
      <c r="S22" s="66" t="str">
        <f t="shared" si="2"/>
        <v>-</v>
      </c>
      <c r="T22" s="66" t="str">
        <f t="shared" si="14"/>
        <v>-</v>
      </c>
      <c r="U22" s="66" t="str">
        <f t="shared" si="3"/>
        <v>-</v>
      </c>
      <c r="V22" s="74" t="str">
        <f t="shared" si="15"/>
        <v>-</v>
      </c>
      <c r="W22" s="75" t="str">
        <f t="shared" si="16"/>
        <v/>
      </c>
      <c r="X22" s="37"/>
      <c r="Y22" s="38"/>
      <c r="Z22" s="37"/>
      <c r="AA22" s="144"/>
      <c r="AB22" s="66" t="s">
        <v>13</v>
      </c>
      <c r="AC22" s="134">
        <f t="shared" si="17"/>
        <v>12</v>
      </c>
      <c r="AD22" s="134">
        <f t="shared" si="4"/>
        <v>24</v>
      </c>
      <c r="AE22" s="78" t="str">
        <f t="shared" si="5"/>
        <v/>
      </c>
      <c r="AF22" s="66" t="str">
        <f t="shared" si="6"/>
        <v>-</v>
      </c>
      <c r="AG22" s="66" t="str">
        <f t="shared" si="7"/>
        <v>-</v>
      </c>
      <c r="AH22" s="66" t="str">
        <f t="shared" si="8"/>
        <v>-</v>
      </c>
      <c r="AI22" s="74" t="str">
        <f t="shared" si="9"/>
        <v>-</v>
      </c>
      <c r="AJ22" s="75" t="str">
        <f t="shared" si="18"/>
        <v/>
      </c>
      <c r="AK22" s="23"/>
      <c r="AL22" s="23"/>
    </row>
    <row r="23" spans="1:38" ht="24.95" customHeight="1" x14ac:dyDescent="0.3">
      <c r="A23" s="77" t="s">
        <v>205</v>
      </c>
      <c r="B23" s="66" t="s">
        <v>55</v>
      </c>
      <c r="C23" s="66">
        <f t="shared" si="30"/>
        <v>37.5</v>
      </c>
      <c r="D23" s="66">
        <v>75</v>
      </c>
      <c r="E23" s="68"/>
      <c r="F23" s="66" t="str">
        <f t="shared" si="0"/>
        <v>-</v>
      </c>
      <c r="G23" s="66" t="str">
        <f t="shared" si="31"/>
        <v>-</v>
      </c>
      <c r="H23" s="66" t="str">
        <f t="shared" si="1"/>
        <v>-</v>
      </c>
      <c r="I23" s="74" t="str">
        <f t="shared" si="10"/>
        <v>-</v>
      </c>
      <c r="J23" s="75" t="str">
        <f t="shared" si="32"/>
        <v/>
      </c>
      <c r="K23" s="37"/>
      <c r="L23" s="38"/>
      <c r="M23" s="37"/>
      <c r="N23" s="77" t="s">
        <v>187</v>
      </c>
      <c r="O23" s="66" t="s">
        <v>14</v>
      </c>
      <c r="P23" s="134">
        <f t="shared" si="12"/>
        <v>25</v>
      </c>
      <c r="Q23" s="134">
        <f t="shared" si="13"/>
        <v>50</v>
      </c>
      <c r="R23" s="78" t="str">
        <f t="shared" si="33"/>
        <v/>
      </c>
      <c r="S23" s="66" t="str">
        <f t="shared" si="2"/>
        <v>-</v>
      </c>
      <c r="T23" s="66" t="str">
        <f t="shared" si="14"/>
        <v>-</v>
      </c>
      <c r="U23" s="66" t="str">
        <f t="shared" si="3"/>
        <v>-</v>
      </c>
      <c r="V23" s="74" t="str">
        <f t="shared" si="15"/>
        <v>-</v>
      </c>
      <c r="W23" s="75" t="str">
        <f t="shared" si="16"/>
        <v/>
      </c>
      <c r="X23" s="37"/>
      <c r="Y23" s="38"/>
      <c r="Z23" s="37"/>
      <c r="AA23" s="77" t="s">
        <v>187</v>
      </c>
      <c r="AB23" s="66" t="s">
        <v>14</v>
      </c>
      <c r="AC23" s="134">
        <f t="shared" si="17"/>
        <v>18.75</v>
      </c>
      <c r="AD23" s="134">
        <f t="shared" si="4"/>
        <v>37.5</v>
      </c>
      <c r="AE23" s="78" t="str">
        <f t="shared" si="5"/>
        <v/>
      </c>
      <c r="AF23" s="66" t="str">
        <f t="shared" si="6"/>
        <v>-</v>
      </c>
      <c r="AG23" s="66" t="str">
        <f t="shared" si="7"/>
        <v>-</v>
      </c>
      <c r="AH23" s="66" t="str">
        <f t="shared" si="8"/>
        <v>-</v>
      </c>
      <c r="AI23" s="74" t="str">
        <f t="shared" si="9"/>
        <v>-</v>
      </c>
      <c r="AJ23" s="75" t="str">
        <f t="shared" si="18"/>
        <v/>
      </c>
      <c r="AK23" s="23"/>
      <c r="AL23" s="23"/>
    </row>
    <row r="24" spans="1:38" ht="24.95" customHeight="1" x14ac:dyDescent="0.3">
      <c r="A24" s="77" t="s">
        <v>206</v>
      </c>
      <c r="B24" s="66" t="s">
        <v>15</v>
      </c>
      <c r="C24" s="66">
        <f t="shared" si="30"/>
        <v>24</v>
      </c>
      <c r="D24" s="66">
        <v>48</v>
      </c>
      <c r="E24" s="68">
        <v>4</v>
      </c>
      <c r="F24" s="66">
        <f t="shared" si="0"/>
        <v>8</v>
      </c>
      <c r="G24" s="66">
        <f t="shared" si="31"/>
        <v>8</v>
      </c>
      <c r="H24" s="66">
        <f t="shared" si="1"/>
        <v>24</v>
      </c>
      <c r="I24" s="74">
        <f t="shared" si="10"/>
        <v>24</v>
      </c>
      <c r="J24" s="75" t="str">
        <f t="shared" si="32"/>
        <v>O</v>
      </c>
      <c r="K24" s="37"/>
      <c r="L24" s="38"/>
      <c r="M24" s="37"/>
      <c r="N24" s="77" t="s">
        <v>188</v>
      </c>
      <c r="O24" s="66" t="s">
        <v>15</v>
      </c>
      <c r="P24" s="134">
        <f t="shared" si="12"/>
        <v>16</v>
      </c>
      <c r="Q24" s="134">
        <f t="shared" si="13"/>
        <v>32</v>
      </c>
      <c r="R24" s="78">
        <f t="shared" si="33"/>
        <v>4</v>
      </c>
      <c r="S24" s="66">
        <f t="shared" si="2"/>
        <v>4</v>
      </c>
      <c r="T24" s="66">
        <f t="shared" si="14"/>
        <v>4</v>
      </c>
      <c r="U24" s="66">
        <f t="shared" si="3"/>
        <v>12</v>
      </c>
      <c r="V24" s="74">
        <f t="shared" si="15"/>
        <v>12</v>
      </c>
      <c r="W24" s="75" t="str">
        <f t="shared" si="16"/>
        <v>X</v>
      </c>
      <c r="X24" s="37"/>
      <c r="Y24" s="38"/>
      <c r="Z24" s="37"/>
      <c r="AA24" s="77" t="s">
        <v>188</v>
      </c>
      <c r="AB24" s="66" t="s">
        <v>15</v>
      </c>
      <c r="AC24" s="134">
        <f t="shared" si="17"/>
        <v>12</v>
      </c>
      <c r="AD24" s="134">
        <f t="shared" si="4"/>
        <v>24</v>
      </c>
      <c r="AE24" s="78">
        <f t="shared" si="5"/>
        <v>4</v>
      </c>
      <c r="AF24" s="66">
        <f t="shared" si="6"/>
        <v>4</v>
      </c>
      <c r="AG24" s="66">
        <f t="shared" si="7"/>
        <v>4</v>
      </c>
      <c r="AH24" s="66">
        <f t="shared" si="8"/>
        <v>12</v>
      </c>
      <c r="AI24" s="74">
        <f t="shared" si="9"/>
        <v>12</v>
      </c>
      <c r="AJ24" s="75" t="str">
        <f t="shared" si="18"/>
        <v>O</v>
      </c>
      <c r="AK24" s="23"/>
      <c r="AL24" s="23"/>
    </row>
    <row r="25" spans="1:38" ht="24.95" customHeight="1" x14ac:dyDescent="0.3">
      <c r="A25" s="144" t="s">
        <v>207</v>
      </c>
      <c r="B25" s="66" t="s">
        <v>54</v>
      </c>
      <c r="C25" s="66">
        <f t="shared" si="30"/>
        <v>45</v>
      </c>
      <c r="D25" s="66">
        <v>90</v>
      </c>
      <c r="E25" s="68"/>
      <c r="F25" s="66" t="str">
        <f t="shared" si="0"/>
        <v>-</v>
      </c>
      <c r="G25" s="66" t="str">
        <f t="shared" si="31"/>
        <v>-</v>
      </c>
      <c r="H25" s="66" t="str">
        <f t="shared" si="1"/>
        <v>-</v>
      </c>
      <c r="I25" s="74" t="str">
        <f t="shared" si="10"/>
        <v>-</v>
      </c>
      <c r="J25" s="75" t="str">
        <f t="shared" si="32"/>
        <v/>
      </c>
      <c r="K25" s="37"/>
      <c r="L25" s="38"/>
      <c r="M25" s="37"/>
      <c r="N25" s="144" t="s">
        <v>181</v>
      </c>
      <c r="O25" s="66" t="s">
        <v>16</v>
      </c>
      <c r="P25" s="134">
        <f t="shared" si="12"/>
        <v>30</v>
      </c>
      <c r="Q25" s="134">
        <f t="shared" si="13"/>
        <v>60</v>
      </c>
      <c r="R25" s="78" t="str">
        <f t="shared" si="33"/>
        <v/>
      </c>
      <c r="S25" s="66" t="str">
        <f t="shared" si="2"/>
        <v>-</v>
      </c>
      <c r="T25" s="66" t="str">
        <f t="shared" si="14"/>
        <v>-</v>
      </c>
      <c r="U25" s="66" t="str">
        <f t="shared" si="3"/>
        <v>-</v>
      </c>
      <c r="V25" s="74" t="str">
        <f t="shared" si="15"/>
        <v>-</v>
      </c>
      <c r="W25" s="75" t="str">
        <f t="shared" si="16"/>
        <v/>
      </c>
      <c r="X25" s="37"/>
      <c r="Y25" s="38"/>
      <c r="Z25" s="37"/>
      <c r="AA25" s="144" t="s">
        <v>181</v>
      </c>
      <c r="AB25" s="66" t="s">
        <v>16</v>
      </c>
      <c r="AC25" s="134">
        <f t="shared" si="17"/>
        <v>22.5</v>
      </c>
      <c r="AD25" s="134">
        <f t="shared" si="4"/>
        <v>45</v>
      </c>
      <c r="AE25" s="78" t="str">
        <f t="shared" si="5"/>
        <v/>
      </c>
      <c r="AF25" s="66" t="str">
        <f t="shared" si="6"/>
        <v>-</v>
      </c>
      <c r="AG25" s="66" t="str">
        <f t="shared" si="7"/>
        <v>-</v>
      </c>
      <c r="AH25" s="66" t="str">
        <f t="shared" si="8"/>
        <v>-</v>
      </c>
      <c r="AI25" s="74" t="str">
        <f t="shared" si="9"/>
        <v>-</v>
      </c>
      <c r="AJ25" s="75" t="str">
        <f t="shared" si="18"/>
        <v/>
      </c>
      <c r="AK25" s="23"/>
      <c r="AL25" s="23"/>
    </row>
    <row r="26" spans="1:38" ht="24.95" customHeight="1" x14ac:dyDescent="0.3">
      <c r="A26" s="144"/>
      <c r="B26" s="66" t="s">
        <v>53</v>
      </c>
      <c r="C26" s="66">
        <f t="shared" si="30"/>
        <v>15</v>
      </c>
      <c r="D26" s="66">
        <v>30</v>
      </c>
      <c r="E26" s="68"/>
      <c r="F26" s="66" t="str">
        <f t="shared" si="0"/>
        <v>-</v>
      </c>
      <c r="G26" s="66" t="str">
        <f t="shared" si="31"/>
        <v>-</v>
      </c>
      <c r="H26" s="66" t="str">
        <f t="shared" si="1"/>
        <v>-</v>
      </c>
      <c r="I26" s="74" t="str">
        <f t="shared" si="10"/>
        <v>-</v>
      </c>
      <c r="J26" s="75" t="str">
        <f t="shared" si="32"/>
        <v/>
      </c>
      <c r="K26" s="37"/>
      <c r="L26" s="38"/>
      <c r="M26" s="37"/>
      <c r="N26" s="144"/>
      <c r="O26" s="66" t="s">
        <v>25</v>
      </c>
      <c r="P26" s="134">
        <f t="shared" si="12"/>
        <v>10</v>
      </c>
      <c r="Q26" s="134">
        <f t="shared" si="13"/>
        <v>20</v>
      </c>
      <c r="R26" s="78" t="str">
        <f t="shared" si="33"/>
        <v/>
      </c>
      <c r="S26" s="66" t="str">
        <f t="shared" si="2"/>
        <v>-</v>
      </c>
      <c r="T26" s="66" t="str">
        <f t="shared" si="14"/>
        <v>-</v>
      </c>
      <c r="U26" s="66" t="str">
        <f t="shared" si="3"/>
        <v>-</v>
      </c>
      <c r="V26" s="74" t="str">
        <f t="shared" si="15"/>
        <v>-</v>
      </c>
      <c r="W26" s="75" t="str">
        <f t="shared" si="16"/>
        <v/>
      </c>
      <c r="X26" s="37"/>
      <c r="Y26" s="38"/>
      <c r="Z26" s="37"/>
      <c r="AA26" s="144"/>
      <c r="AB26" s="66" t="s">
        <v>25</v>
      </c>
      <c r="AC26" s="134">
        <f t="shared" si="17"/>
        <v>7.5</v>
      </c>
      <c r="AD26" s="134">
        <f t="shared" si="4"/>
        <v>15</v>
      </c>
      <c r="AE26" s="78" t="str">
        <f t="shared" si="5"/>
        <v/>
      </c>
      <c r="AF26" s="66" t="str">
        <f t="shared" si="6"/>
        <v>-</v>
      </c>
      <c r="AG26" s="66" t="str">
        <f t="shared" si="7"/>
        <v>-</v>
      </c>
      <c r="AH26" s="66" t="str">
        <f t="shared" si="8"/>
        <v>-</v>
      </c>
      <c r="AI26" s="74" t="str">
        <f t="shared" si="9"/>
        <v>-</v>
      </c>
      <c r="AJ26" s="75" t="str">
        <f t="shared" si="18"/>
        <v/>
      </c>
      <c r="AK26" s="23"/>
      <c r="AL26" s="23"/>
    </row>
    <row r="27" spans="1:38" ht="24.95" customHeight="1" x14ac:dyDescent="0.3">
      <c r="A27" s="77" t="s">
        <v>208</v>
      </c>
      <c r="B27" s="66" t="s">
        <v>17</v>
      </c>
      <c r="C27" s="66">
        <f t="shared" si="30"/>
        <v>125</v>
      </c>
      <c r="D27" s="66">
        <v>250</v>
      </c>
      <c r="E27" s="68">
        <v>41.66</v>
      </c>
      <c r="F27" s="66">
        <f t="shared" si="0"/>
        <v>83.32</v>
      </c>
      <c r="G27" s="66">
        <f t="shared" si="31"/>
        <v>83.32</v>
      </c>
      <c r="H27" s="66">
        <f t="shared" si="1"/>
        <v>249.95999999999998</v>
      </c>
      <c r="I27" s="74">
        <f t="shared" si="10"/>
        <v>249.95999999999998</v>
      </c>
      <c r="J27" s="75" t="str">
        <f t="shared" si="32"/>
        <v>O</v>
      </c>
      <c r="K27" s="37"/>
      <c r="L27" s="38"/>
      <c r="M27" s="37"/>
      <c r="N27" s="77" t="s">
        <v>27</v>
      </c>
      <c r="O27" s="66" t="s">
        <v>17</v>
      </c>
      <c r="P27" s="134">
        <f t="shared" si="12"/>
        <v>83.333333333333329</v>
      </c>
      <c r="Q27" s="134">
        <f t="shared" si="13"/>
        <v>166.66666666666666</v>
      </c>
      <c r="R27" s="78">
        <f t="shared" ref="R27:R30" si="34">IF(E27&lt;&gt;"",E27,"")</f>
        <v>41.66</v>
      </c>
      <c r="S27" s="66">
        <f t="shared" ref="S27:S30" si="35">IF(R27&lt;&gt;"",$E27*$Q$4,"-")</f>
        <v>41.66</v>
      </c>
      <c r="T27" s="66">
        <f t="shared" ref="T27:T30" si="36">IF(R27&lt;&gt;"",$E27*$S$4,"-")</f>
        <v>41.66</v>
      </c>
      <c r="U27" s="66">
        <f t="shared" ref="U27:U30" si="37">IF(R27&lt;&gt;"",$S27*$Q$3,"-")</f>
        <v>124.97999999999999</v>
      </c>
      <c r="V27" s="74">
        <f t="shared" ref="V27:V30" si="38">IF(R27&lt;&gt;"",$T27*$Q$3,"-")</f>
        <v>124.97999999999999</v>
      </c>
      <c r="W27" s="75" t="str">
        <f t="shared" ref="W27:W30" si="39">IF(R27="","",IF(AND(U27&gt;=P27,V27&lt;=Q27),"O","X"))</f>
        <v>O</v>
      </c>
      <c r="X27" s="37"/>
      <c r="Y27" s="38"/>
      <c r="Z27" s="37"/>
      <c r="AA27" s="77" t="s">
        <v>27</v>
      </c>
      <c r="AB27" s="66" t="s">
        <v>17</v>
      </c>
      <c r="AC27" s="134">
        <f t="shared" si="17"/>
        <v>62.5</v>
      </c>
      <c r="AD27" s="134">
        <f t="shared" si="4"/>
        <v>125</v>
      </c>
      <c r="AE27" s="78">
        <f t="shared" si="5"/>
        <v>41.66</v>
      </c>
      <c r="AF27" s="66">
        <f t="shared" si="6"/>
        <v>41.66</v>
      </c>
      <c r="AG27" s="66">
        <f t="shared" si="7"/>
        <v>41.66</v>
      </c>
      <c r="AH27" s="66">
        <f t="shared" si="8"/>
        <v>124.97999999999999</v>
      </c>
      <c r="AI27" s="74">
        <f t="shared" si="9"/>
        <v>124.97999999999999</v>
      </c>
      <c r="AJ27" s="75" t="str">
        <f t="shared" si="18"/>
        <v>O</v>
      </c>
      <c r="AK27" s="23"/>
      <c r="AL27" s="23"/>
    </row>
    <row r="28" spans="1:38" ht="24.95" customHeight="1" x14ac:dyDescent="0.3">
      <c r="A28" s="77" t="s">
        <v>209</v>
      </c>
      <c r="B28" s="66" t="s">
        <v>182</v>
      </c>
      <c r="C28" s="66">
        <v>8</v>
      </c>
      <c r="D28" s="66">
        <v>12</v>
      </c>
      <c r="E28" s="68"/>
      <c r="F28" s="66" t="str">
        <f t="shared" ref="F28:F30" si="40">IF(E28&lt;&gt;"",$E28*$D$4,"-")</f>
        <v>-</v>
      </c>
      <c r="G28" s="66" t="str">
        <f t="shared" ref="G28:G30" si="41">IF(E28&lt;&gt;"",$E28*$F$4,"-")</f>
        <v>-</v>
      </c>
      <c r="H28" s="66" t="str">
        <f t="shared" ref="H28:H30" si="42">IF(E28&lt;&gt;"",$F28*$D$3,"-")</f>
        <v>-</v>
      </c>
      <c r="I28" s="74" t="str">
        <f t="shared" ref="I28:I30" si="43">IF(E28&lt;&gt;"",$G28*$D$3,"-")</f>
        <v>-</v>
      </c>
      <c r="J28" s="75" t="str">
        <f t="shared" ref="J28:J30" si="44">IF(E28="","",IF(AND(H28&gt;=C28,I28&lt;=D28),"O","X"))</f>
        <v/>
      </c>
      <c r="K28" s="37"/>
      <c r="L28" s="38"/>
      <c r="M28" s="37"/>
      <c r="N28" s="77" t="s">
        <v>28</v>
      </c>
      <c r="O28" s="66" t="s">
        <v>182</v>
      </c>
      <c r="P28" s="134">
        <f t="shared" si="12"/>
        <v>5.333333333333333</v>
      </c>
      <c r="Q28" s="134">
        <f t="shared" si="13"/>
        <v>8</v>
      </c>
      <c r="R28" s="78" t="str">
        <f t="shared" si="34"/>
        <v/>
      </c>
      <c r="S28" s="66" t="str">
        <f t="shared" si="35"/>
        <v>-</v>
      </c>
      <c r="T28" s="66" t="str">
        <f t="shared" si="36"/>
        <v>-</v>
      </c>
      <c r="U28" s="66" t="str">
        <f t="shared" si="37"/>
        <v>-</v>
      </c>
      <c r="V28" s="74" t="str">
        <f t="shared" si="38"/>
        <v>-</v>
      </c>
      <c r="W28" s="75" t="str">
        <f t="shared" si="39"/>
        <v/>
      </c>
      <c r="X28" s="37"/>
      <c r="Y28" s="38"/>
      <c r="Z28" s="37"/>
      <c r="AA28" s="77" t="s">
        <v>28</v>
      </c>
      <c r="AB28" s="66" t="s">
        <v>182</v>
      </c>
      <c r="AC28" s="134">
        <f t="shared" si="17"/>
        <v>4</v>
      </c>
      <c r="AD28" s="134">
        <f t="shared" si="4"/>
        <v>6</v>
      </c>
      <c r="AE28" s="78" t="str">
        <f t="shared" ref="AE28:AE30" si="45">IF(R28&lt;&gt;"",R28,"")</f>
        <v/>
      </c>
      <c r="AF28" s="66" t="str">
        <f t="shared" ref="AF28:AF30" si="46">IF(AE28&lt;&gt;"",$E28*$AD$4,"-")</f>
        <v>-</v>
      </c>
      <c r="AG28" s="66" t="str">
        <f t="shared" ref="AG28:AG30" si="47">IF(AE28&lt;&gt;"",$E28*$AF$4,"-")</f>
        <v>-</v>
      </c>
      <c r="AH28" s="66" t="str">
        <f t="shared" ref="AH28:AH30" si="48">IF(AE28&lt;&gt;"",$AF28*$AD$3,"-")</f>
        <v>-</v>
      </c>
      <c r="AI28" s="74" t="str">
        <f t="shared" ref="AI28:AI30" si="49">IF(AE28&lt;&gt;"",$AG28*$AD$3,"-")</f>
        <v>-</v>
      </c>
      <c r="AJ28" s="75" t="str">
        <f t="shared" ref="AJ28:AJ30" si="50">IF(AE28="","",IF(AND(AH28&gt;=AC28,AI28&lt;=AD28),"O","X"))</f>
        <v/>
      </c>
      <c r="AK28" s="23"/>
      <c r="AL28" s="23"/>
    </row>
    <row r="29" spans="1:38" ht="24.95" customHeight="1" x14ac:dyDescent="0.3">
      <c r="A29" s="77" t="s">
        <v>210</v>
      </c>
      <c r="B29" s="66" t="s">
        <v>183</v>
      </c>
      <c r="C29" s="66">
        <f t="shared" si="30"/>
        <v>375</v>
      </c>
      <c r="D29" s="66">
        <v>750</v>
      </c>
      <c r="E29" s="68"/>
      <c r="F29" s="66" t="str">
        <f t="shared" si="40"/>
        <v>-</v>
      </c>
      <c r="G29" s="66" t="str">
        <f t="shared" si="41"/>
        <v>-</v>
      </c>
      <c r="H29" s="66" t="str">
        <f t="shared" si="42"/>
        <v>-</v>
      </c>
      <c r="I29" s="74" t="str">
        <f t="shared" si="43"/>
        <v>-</v>
      </c>
      <c r="J29" s="75" t="str">
        <f t="shared" si="44"/>
        <v/>
      </c>
      <c r="K29" s="37"/>
      <c r="L29" s="38"/>
      <c r="M29" s="37"/>
      <c r="N29" s="77" t="s">
        <v>185</v>
      </c>
      <c r="O29" s="66" t="s">
        <v>183</v>
      </c>
      <c r="P29" s="134">
        <f t="shared" si="12"/>
        <v>250</v>
      </c>
      <c r="Q29" s="134">
        <f t="shared" si="13"/>
        <v>500</v>
      </c>
      <c r="R29" s="78" t="str">
        <f t="shared" si="34"/>
        <v/>
      </c>
      <c r="S29" s="66" t="str">
        <f t="shared" si="35"/>
        <v>-</v>
      </c>
      <c r="T29" s="66" t="str">
        <f t="shared" si="36"/>
        <v>-</v>
      </c>
      <c r="U29" s="66" t="str">
        <f t="shared" si="37"/>
        <v>-</v>
      </c>
      <c r="V29" s="74" t="str">
        <f t="shared" si="38"/>
        <v>-</v>
      </c>
      <c r="W29" s="75" t="str">
        <f t="shared" si="39"/>
        <v/>
      </c>
      <c r="X29" s="37"/>
      <c r="Y29" s="38"/>
      <c r="Z29" s="37"/>
      <c r="AA29" s="77" t="s">
        <v>185</v>
      </c>
      <c r="AB29" s="66" t="s">
        <v>183</v>
      </c>
      <c r="AC29" s="134">
        <f t="shared" si="17"/>
        <v>187.5</v>
      </c>
      <c r="AD29" s="134">
        <f t="shared" si="4"/>
        <v>375</v>
      </c>
      <c r="AE29" s="78" t="str">
        <f t="shared" si="45"/>
        <v/>
      </c>
      <c r="AF29" s="66" t="str">
        <f t="shared" si="46"/>
        <v>-</v>
      </c>
      <c r="AG29" s="66" t="str">
        <f t="shared" si="47"/>
        <v>-</v>
      </c>
      <c r="AH29" s="66" t="str">
        <f t="shared" si="48"/>
        <v>-</v>
      </c>
      <c r="AI29" s="74" t="str">
        <f t="shared" si="49"/>
        <v>-</v>
      </c>
      <c r="AJ29" s="75" t="str">
        <f t="shared" si="50"/>
        <v/>
      </c>
      <c r="AK29" s="23"/>
      <c r="AL29" s="23"/>
    </row>
    <row r="30" spans="1:38" ht="24.95" customHeight="1" x14ac:dyDescent="0.3">
      <c r="A30" s="77" t="s">
        <v>211</v>
      </c>
      <c r="B30" s="66" t="s">
        <v>184</v>
      </c>
      <c r="C30" s="66">
        <f t="shared" si="30"/>
        <v>0.15</v>
      </c>
      <c r="D30" s="66">
        <v>0.3</v>
      </c>
      <c r="E30" s="68"/>
      <c r="F30" s="66" t="str">
        <f t="shared" si="40"/>
        <v>-</v>
      </c>
      <c r="G30" s="66" t="str">
        <f t="shared" si="41"/>
        <v>-</v>
      </c>
      <c r="H30" s="66" t="str">
        <f t="shared" si="42"/>
        <v>-</v>
      </c>
      <c r="I30" s="74" t="str">
        <f t="shared" si="43"/>
        <v>-</v>
      </c>
      <c r="J30" s="75" t="str">
        <f t="shared" si="44"/>
        <v/>
      </c>
      <c r="K30" s="37"/>
      <c r="L30" s="38"/>
      <c r="M30" s="37"/>
      <c r="N30" s="77" t="s">
        <v>189</v>
      </c>
      <c r="O30" s="66" t="s">
        <v>184</v>
      </c>
      <c r="P30" s="134">
        <f t="shared" si="12"/>
        <v>9.9999999999999992E-2</v>
      </c>
      <c r="Q30" s="134">
        <f t="shared" si="13"/>
        <v>0.19999999999999998</v>
      </c>
      <c r="R30" s="78" t="str">
        <f t="shared" si="34"/>
        <v/>
      </c>
      <c r="S30" s="66" t="str">
        <f t="shared" si="35"/>
        <v>-</v>
      </c>
      <c r="T30" s="66" t="str">
        <f t="shared" si="36"/>
        <v>-</v>
      </c>
      <c r="U30" s="66" t="str">
        <f t="shared" si="37"/>
        <v>-</v>
      </c>
      <c r="V30" s="74" t="str">
        <f t="shared" si="38"/>
        <v>-</v>
      </c>
      <c r="W30" s="75" t="str">
        <f t="shared" si="39"/>
        <v/>
      </c>
      <c r="X30" s="37"/>
      <c r="Y30" s="38"/>
      <c r="Z30" s="37"/>
      <c r="AA30" s="77" t="s">
        <v>189</v>
      </c>
      <c r="AB30" s="66" t="s">
        <v>184</v>
      </c>
      <c r="AC30" s="134">
        <f t="shared" si="17"/>
        <v>7.4999999999999997E-2</v>
      </c>
      <c r="AD30" s="134">
        <f t="shared" si="4"/>
        <v>0.15</v>
      </c>
      <c r="AE30" s="78" t="str">
        <f t="shared" si="45"/>
        <v/>
      </c>
      <c r="AF30" s="66" t="str">
        <f t="shared" si="46"/>
        <v>-</v>
      </c>
      <c r="AG30" s="66" t="str">
        <f t="shared" si="47"/>
        <v>-</v>
      </c>
      <c r="AH30" s="66" t="str">
        <f t="shared" si="48"/>
        <v>-</v>
      </c>
      <c r="AI30" s="74" t="str">
        <f t="shared" si="49"/>
        <v>-</v>
      </c>
      <c r="AJ30" s="75" t="str">
        <f t="shared" si="50"/>
        <v/>
      </c>
      <c r="AK30" s="23"/>
      <c r="AL30" s="23"/>
    </row>
    <row r="31" spans="1:38" ht="24.95" customHeight="1" x14ac:dyDescent="0.3">
      <c r="A31" s="77" t="s">
        <v>212</v>
      </c>
      <c r="B31" s="66" t="s">
        <v>52</v>
      </c>
      <c r="C31" s="66">
        <f>D31/5</f>
        <v>30</v>
      </c>
      <c r="D31" s="66">
        <v>150</v>
      </c>
      <c r="E31" s="68"/>
      <c r="F31" s="66" t="str">
        <f t="shared" si="0"/>
        <v>-</v>
      </c>
      <c r="G31" s="66" t="str">
        <f t="shared" si="31"/>
        <v>-</v>
      </c>
      <c r="H31" s="66" t="str">
        <f t="shared" si="1"/>
        <v>-</v>
      </c>
      <c r="I31" s="74" t="str">
        <f t="shared" si="10"/>
        <v>-</v>
      </c>
      <c r="J31" s="75" t="str">
        <f t="shared" si="32"/>
        <v/>
      </c>
      <c r="K31" s="37"/>
      <c r="L31" s="38"/>
      <c r="M31" s="37"/>
      <c r="N31" s="77" t="s">
        <v>190</v>
      </c>
      <c r="O31" s="66" t="s">
        <v>18</v>
      </c>
      <c r="P31" s="134">
        <f t="shared" si="12"/>
        <v>20</v>
      </c>
      <c r="Q31" s="134">
        <f t="shared" si="13"/>
        <v>100</v>
      </c>
      <c r="R31" s="78" t="str">
        <f t="shared" si="33"/>
        <v/>
      </c>
      <c r="S31" s="66" t="str">
        <f t="shared" si="2"/>
        <v>-</v>
      </c>
      <c r="T31" s="66" t="str">
        <f t="shared" si="14"/>
        <v>-</v>
      </c>
      <c r="U31" s="66" t="str">
        <f t="shared" si="3"/>
        <v>-</v>
      </c>
      <c r="V31" s="74" t="str">
        <f t="shared" si="15"/>
        <v>-</v>
      </c>
      <c r="W31" s="75" t="str">
        <f t="shared" si="16"/>
        <v/>
      </c>
      <c r="X31" s="37"/>
      <c r="Y31" s="38"/>
      <c r="Z31" s="37"/>
      <c r="AA31" s="77" t="s">
        <v>190</v>
      </c>
      <c r="AB31" s="66" t="s">
        <v>18</v>
      </c>
      <c r="AC31" s="134">
        <f t="shared" si="17"/>
        <v>15</v>
      </c>
      <c r="AD31" s="134">
        <f t="shared" si="4"/>
        <v>75</v>
      </c>
      <c r="AE31" s="78" t="str">
        <f t="shared" si="5"/>
        <v/>
      </c>
      <c r="AF31" s="66" t="str">
        <f t="shared" si="6"/>
        <v>-</v>
      </c>
      <c r="AG31" s="66" t="str">
        <f t="shared" si="7"/>
        <v>-</v>
      </c>
      <c r="AH31" s="66" t="str">
        <f t="shared" si="8"/>
        <v>-</v>
      </c>
      <c r="AI31" s="74" t="str">
        <f t="shared" si="9"/>
        <v>-</v>
      </c>
      <c r="AJ31" s="75" t="str">
        <f t="shared" si="18"/>
        <v/>
      </c>
      <c r="AK31" s="23"/>
      <c r="AL31" s="23"/>
    </row>
    <row r="32" spans="1:38" ht="24.95" customHeight="1" x14ac:dyDescent="0.3">
      <c r="A32" s="144" t="s">
        <v>190</v>
      </c>
      <c r="B32" s="66" t="s">
        <v>19</v>
      </c>
      <c r="C32" s="66">
        <v>1</v>
      </c>
      <c r="D32" s="66">
        <v>25</v>
      </c>
      <c r="E32" s="68"/>
      <c r="F32" s="66" t="str">
        <f t="shared" si="0"/>
        <v>-</v>
      </c>
      <c r="G32" s="66" t="str">
        <f t="shared" si="31"/>
        <v>-</v>
      </c>
      <c r="H32" s="66" t="str">
        <f t="shared" si="1"/>
        <v>-</v>
      </c>
      <c r="I32" s="74" t="str">
        <f t="shared" si="10"/>
        <v>-</v>
      </c>
      <c r="J32" s="75" t="str">
        <f>IF(E32="","",IF(AND(H32&gt;=C32,I32&lt;=D32),"O","X"))</f>
        <v/>
      </c>
      <c r="K32" s="37"/>
      <c r="L32" s="38"/>
      <c r="M32" s="37"/>
      <c r="N32" s="144" t="s">
        <v>186</v>
      </c>
      <c r="O32" s="66" t="s">
        <v>19</v>
      </c>
      <c r="P32" s="134">
        <f t="shared" si="12"/>
        <v>0.66666666666666663</v>
      </c>
      <c r="Q32" s="134">
        <f t="shared" si="13"/>
        <v>16.666666666666664</v>
      </c>
      <c r="R32" s="78" t="str">
        <f t="shared" si="33"/>
        <v/>
      </c>
      <c r="S32" s="66" t="str">
        <f t="shared" si="2"/>
        <v>-</v>
      </c>
      <c r="T32" s="66" t="str">
        <f t="shared" si="14"/>
        <v>-</v>
      </c>
      <c r="U32" s="66" t="str">
        <f t="shared" si="3"/>
        <v>-</v>
      </c>
      <c r="V32" s="74" t="str">
        <f t="shared" si="15"/>
        <v>-</v>
      </c>
      <c r="W32" s="75" t="str">
        <f t="shared" si="16"/>
        <v/>
      </c>
      <c r="X32" s="37"/>
      <c r="Y32" s="38"/>
      <c r="Z32" s="37"/>
      <c r="AA32" s="144" t="s">
        <v>186</v>
      </c>
      <c r="AB32" s="66" t="s">
        <v>19</v>
      </c>
      <c r="AC32" s="134">
        <f t="shared" si="17"/>
        <v>0.5</v>
      </c>
      <c r="AD32" s="134">
        <f t="shared" si="4"/>
        <v>12.5</v>
      </c>
      <c r="AE32" s="78" t="str">
        <f t="shared" si="5"/>
        <v/>
      </c>
      <c r="AF32" s="66" t="str">
        <f t="shared" si="6"/>
        <v>-</v>
      </c>
      <c r="AG32" s="66" t="str">
        <f t="shared" si="7"/>
        <v>-</v>
      </c>
      <c r="AH32" s="66" t="str">
        <f t="shared" si="8"/>
        <v>-</v>
      </c>
      <c r="AI32" s="74" t="str">
        <f t="shared" si="9"/>
        <v>-</v>
      </c>
      <c r="AJ32" s="75" t="str">
        <f t="shared" si="18"/>
        <v/>
      </c>
      <c r="AK32" s="23"/>
      <c r="AL32" s="23"/>
    </row>
    <row r="33" spans="1:38" ht="24.95" customHeight="1" x14ac:dyDescent="0.3">
      <c r="A33" s="144"/>
      <c r="B33" s="66" t="s">
        <v>51</v>
      </c>
      <c r="C33" s="66">
        <v>2</v>
      </c>
      <c r="D33" s="66">
        <v>12</v>
      </c>
      <c r="E33" s="68"/>
      <c r="F33" s="66" t="str">
        <f t="shared" si="0"/>
        <v>-</v>
      </c>
      <c r="G33" s="66" t="str">
        <f t="shared" si="31"/>
        <v>-</v>
      </c>
      <c r="H33" s="66" t="str">
        <f t="shared" si="1"/>
        <v>-</v>
      </c>
      <c r="I33" s="74" t="str">
        <f t="shared" si="10"/>
        <v>-</v>
      </c>
      <c r="J33" s="75" t="str">
        <f t="shared" si="32"/>
        <v/>
      </c>
      <c r="K33" s="37"/>
      <c r="L33" s="38"/>
      <c r="M33" s="37"/>
      <c r="N33" s="144"/>
      <c r="O33" s="66" t="s">
        <v>20</v>
      </c>
      <c r="P33" s="134">
        <f t="shared" si="12"/>
        <v>1.3333333333333333</v>
      </c>
      <c r="Q33" s="134">
        <f t="shared" si="13"/>
        <v>8</v>
      </c>
      <c r="R33" s="78" t="str">
        <f t="shared" si="33"/>
        <v/>
      </c>
      <c r="S33" s="66" t="str">
        <f t="shared" si="2"/>
        <v>-</v>
      </c>
      <c r="T33" s="66" t="str">
        <f t="shared" si="14"/>
        <v>-</v>
      </c>
      <c r="U33" s="66" t="str">
        <f t="shared" si="3"/>
        <v>-</v>
      </c>
      <c r="V33" s="74" t="str">
        <f t="shared" si="15"/>
        <v>-</v>
      </c>
      <c r="W33" s="75" t="str">
        <f t="shared" si="16"/>
        <v/>
      </c>
      <c r="X33" s="37"/>
      <c r="Y33" s="38"/>
      <c r="Z33" s="37"/>
      <c r="AA33" s="144"/>
      <c r="AB33" s="66" t="s">
        <v>20</v>
      </c>
      <c r="AC33" s="134">
        <f t="shared" si="17"/>
        <v>1</v>
      </c>
      <c r="AD33" s="134">
        <f t="shared" si="4"/>
        <v>6</v>
      </c>
      <c r="AE33" s="78" t="str">
        <f t="shared" si="5"/>
        <v/>
      </c>
      <c r="AF33" s="66" t="str">
        <f t="shared" si="6"/>
        <v>-</v>
      </c>
      <c r="AG33" s="66" t="str">
        <f t="shared" si="7"/>
        <v>-</v>
      </c>
      <c r="AH33" s="66" t="str">
        <f t="shared" si="8"/>
        <v>-</v>
      </c>
      <c r="AI33" s="74" t="str">
        <f t="shared" si="9"/>
        <v>-</v>
      </c>
      <c r="AJ33" s="75" t="str">
        <f t="shared" si="18"/>
        <v/>
      </c>
      <c r="AK33" s="23"/>
      <c r="AL33" s="23"/>
    </row>
    <row r="34" spans="1:38" ht="24.95" customHeight="1" x14ac:dyDescent="0.3">
      <c r="A34" s="144"/>
      <c r="B34" s="66" t="s">
        <v>21</v>
      </c>
      <c r="C34" s="66">
        <v>50</v>
      </c>
      <c r="D34" s="66">
        <v>500</v>
      </c>
      <c r="E34" s="68"/>
      <c r="F34" s="66" t="str">
        <f t="shared" si="0"/>
        <v>-</v>
      </c>
      <c r="G34" s="66" t="str">
        <f t="shared" si="31"/>
        <v>-</v>
      </c>
      <c r="H34" s="66" t="str">
        <f t="shared" si="1"/>
        <v>-</v>
      </c>
      <c r="I34" s="74" t="str">
        <f t="shared" si="10"/>
        <v>-</v>
      </c>
      <c r="J34" s="75" t="str">
        <f t="shared" si="32"/>
        <v/>
      </c>
      <c r="K34" s="37"/>
      <c r="L34" s="38"/>
      <c r="M34" s="37"/>
      <c r="N34" s="144"/>
      <c r="O34" s="66" t="s">
        <v>21</v>
      </c>
      <c r="P34" s="134">
        <f t="shared" si="12"/>
        <v>33.333333333333329</v>
      </c>
      <c r="Q34" s="134">
        <f t="shared" si="13"/>
        <v>333.33333333333331</v>
      </c>
      <c r="R34" s="78" t="str">
        <f t="shared" si="33"/>
        <v/>
      </c>
      <c r="S34" s="66" t="str">
        <f t="shared" si="2"/>
        <v>-</v>
      </c>
      <c r="T34" s="66" t="str">
        <f t="shared" si="14"/>
        <v>-</v>
      </c>
      <c r="U34" s="66" t="str">
        <f t="shared" si="3"/>
        <v>-</v>
      </c>
      <c r="V34" s="74" t="str">
        <f t="shared" si="15"/>
        <v>-</v>
      </c>
      <c r="W34" s="75" t="str">
        <f t="shared" si="16"/>
        <v/>
      </c>
      <c r="X34" s="37"/>
      <c r="Y34" s="38"/>
      <c r="Z34" s="37"/>
      <c r="AA34" s="144"/>
      <c r="AB34" s="66" t="s">
        <v>21</v>
      </c>
      <c r="AC34" s="134">
        <f t="shared" si="17"/>
        <v>25</v>
      </c>
      <c r="AD34" s="134">
        <f t="shared" si="4"/>
        <v>250</v>
      </c>
      <c r="AE34" s="78" t="str">
        <f t="shared" si="5"/>
        <v/>
      </c>
      <c r="AF34" s="66" t="str">
        <f t="shared" si="6"/>
        <v>-</v>
      </c>
      <c r="AG34" s="66" t="str">
        <f t="shared" si="7"/>
        <v>-</v>
      </c>
      <c r="AH34" s="66" t="str">
        <f t="shared" si="8"/>
        <v>-</v>
      </c>
      <c r="AI34" s="74" t="str">
        <f t="shared" si="9"/>
        <v>-</v>
      </c>
      <c r="AJ34" s="75" t="str">
        <f t="shared" si="18"/>
        <v/>
      </c>
      <c r="AK34" s="23"/>
      <c r="AL34" s="23"/>
    </row>
    <row r="35" spans="1:38" ht="24.95" customHeight="1" x14ac:dyDescent="0.3">
      <c r="A35" s="77" t="s">
        <v>213</v>
      </c>
      <c r="B35" s="66" t="s">
        <v>76</v>
      </c>
      <c r="C35" s="66">
        <f>IF(COUNTA($E$20:$E$24,$E$27)=0,IF(COUNTA($E$35:$E$36)&gt;=2,D35/5,D35/2),D35/10)</f>
        <v>150</v>
      </c>
      <c r="D35" s="66">
        <v>1500</v>
      </c>
      <c r="E35" s="68"/>
      <c r="F35" s="66" t="str">
        <f t="shared" si="0"/>
        <v>-</v>
      </c>
      <c r="G35" s="66" t="str">
        <f t="shared" si="31"/>
        <v>-</v>
      </c>
      <c r="H35" s="66" t="str">
        <f t="shared" si="1"/>
        <v>-</v>
      </c>
      <c r="I35" s="74" t="str">
        <f t="shared" si="10"/>
        <v>-</v>
      </c>
      <c r="J35" s="75" t="str">
        <f t="shared" si="32"/>
        <v/>
      </c>
      <c r="K35" s="37"/>
      <c r="L35" s="38"/>
      <c r="M35" s="37"/>
      <c r="N35" s="77" t="s">
        <v>74</v>
      </c>
      <c r="O35" s="66" t="s">
        <v>76</v>
      </c>
      <c r="P35" s="134">
        <f t="shared" si="12"/>
        <v>100</v>
      </c>
      <c r="Q35" s="134">
        <f>D35*$P$6</f>
        <v>1000</v>
      </c>
      <c r="R35" s="78" t="str">
        <f t="shared" si="33"/>
        <v/>
      </c>
      <c r="S35" s="66" t="str">
        <f t="shared" si="2"/>
        <v>-</v>
      </c>
      <c r="T35" s="66" t="str">
        <f t="shared" si="14"/>
        <v>-</v>
      </c>
      <c r="U35" s="66" t="str">
        <f t="shared" si="3"/>
        <v>-</v>
      </c>
      <c r="V35" s="74" t="str">
        <f t="shared" si="15"/>
        <v>-</v>
      </c>
      <c r="W35" s="75" t="str">
        <f t="shared" si="16"/>
        <v/>
      </c>
      <c r="X35" s="37"/>
      <c r="Y35" s="38"/>
      <c r="Z35" s="37"/>
      <c r="AA35" s="77" t="s">
        <v>74</v>
      </c>
      <c r="AB35" s="66" t="s">
        <v>76</v>
      </c>
      <c r="AC35" s="134">
        <f t="shared" si="17"/>
        <v>75</v>
      </c>
      <c r="AD35" s="134">
        <f>D35*$AC$6</f>
        <v>750</v>
      </c>
      <c r="AE35" s="78" t="str">
        <f t="shared" si="5"/>
        <v/>
      </c>
      <c r="AF35" s="66" t="str">
        <f t="shared" si="6"/>
        <v>-</v>
      </c>
      <c r="AG35" s="66" t="str">
        <f t="shared" si="7"/>
        <v>-</v>
      </c>
      <c r="AH35" s="66" t="str">
        <f t="shared" si="8"/>
        <v>-</v>
      </c>
      <c r="AI35" s="74" t="str">
        <f t="shared" si="9"/>
        <v>-</v>
      </c>
      <c r="AJ35" s="75" t="str">
        <f t="shared" si="18"/>
        <v/>
      </c>
      <c r="AK35" s="23"/>
      <c r="AL35" s="23"/>
    </row>
    <row r="36" spans="1:38" ht="24.95" customHeight="1" x14ac:dyDescent="0.3">
      <c r="A36" s="77" t="s">
        <v>74</v>
      </c>
      <c r="B36" s="66" t="s">
        <v>194</v>
      </c>
      <c r="C36" s="66">
        <f>IF(COUNTA($E$20:$E$24,$E$27)=0,IF(COUNTA($E$35:$E$36)&gt;=2,D36/5,D36/2),D36/10)</f>
        <v>200</v>
      </c>
      <c r="D36" s="66">
        <v>2000</v>
      </c>
      <c r="E36" s="68"/>
      <c r="F36" s="66" t="str">
        <f t="shared" ref="F36:F37" si="51">IF(E36&lt;&gt;"",$E36*$D$4,"-")</f>
        <v>-</v>
      </c>
      <c r="G36" s="66" t="str">
        <f t="shared" ref="G36:G37" si="52">IF(E36&lt;&gt;"",$E36*$F$4,"-")</f>
        <v>-</v>
      </c>
      <c r="H36" s="66" t="str">
        <f t="shared" ref="H36:H37" si="53">IF(E36&lt;&gt;"",$F36*$D$3,"-")</f>
        <v>-</v>
      </c>
      <c r="I36" s="74" t="str">
        <f t="shared" ref="I36:I37" si="54">IF(E36&lt;&gt;"",$G36*$D$3,"-")</f>
        <v>-</v>
      </c>
      <c r="J36" s="75" t="str">
        <f t="shared" si="32"/>
        <v/>
      </c>
      <c r="K36" s="37"/>
      <c r="L36" s="38"/>
      <c r="M36" s="37"/>
      <c r="N36" s="77" t="s">
        <v>74</v>
      </c>
      <c r="O36" s="66" t="s">
        <v>194</v>
      </c>
      <c r="P36" s="134">
        <f t="shared" si="12"/>
        <v>133.33333333333331</v>
      </c>
      <c r="Q36" s="134">
        <f>D36*$P$6</f>
        <v>1333.3333333333333</v>
      </c>
      <c r="R36" s="78" t="str">
        <f t="shared" ref="R36" si="55">IF(E36&lt;&gt;"",E36,"")</f>
        <v/>
      </c>
      <c r="S36" s="66" t="str">
        <f t="shared" ref="S36" si="56">IF(R36&lt;&gt;"",$E36*$Q$4,"-")</f>
        <v>-</v>
      </c>
      <c r="T36" s="66" t="str">
        <f t="shared" ref="T36" si="57">IF(R36&lt;&gt;"",$E36*$S$4,"-")</f>
        <v>-</v>
      </c>
      <c r="U36" s="66" t="str">
        <f t="shared" ref="U36" si="58">IF(R36&lt;&gt;"",$S36*$Q$3,"-")</f>
        <v>-</v>
      </c>
      <c r="V36" s="74" t="str">
        <f t="shared" ref="V36" si="59">IF(R36&lt;&gt;"",$T36*$Q$3,"-")</f>
        <v>-</v>
      </c>
      <c r="W36" s="75" t="str">
        <f t="shared" ref="W36" si="60">IF(R36="","",IF(AND(U36&gt;=P36,V36&lt;=Q36),"O","X"))</f>
        <v/>
      </c>
      <c r="X36" s="37"/>
      <c r="Y36" s="38"/>
      <c r="Z36" s="37"/>
      <c r="AA36" s="77" t="s">
        <v>74</v>
      </c>
      <c r="AB36" s="66" t="s">
        <v>194</v>
      </c>
      <c r="AC36" s="134">
        <f t="shared" si="17"/>
        <v>100</v>
      </c>
      <c r="AD36" s="134">
        <f>D36*$AC$6</f>
        <v>1000</v>
      </c>
      <c r="AE36" s="78" t="str">
        <f>IF(R36&lt;&gt;"",R36,"")</f>
        <v/>
      </c>
      <c r="AF36" s="66" t="str">
        <f t="shared" ref="AF36" si="61">IF(AE36&lt;&gt;"",$E36*$AD$4,"-")</f>
        <v>-</v>
      </c>
      <c r="AG36" s="66" t="str">
        <f t="shared" ref="AG36" si="62">IF(AE36&lt;&gt;"",$E36*$AF$4,"-")</f>
        <v>-</v>
      </c>
      <c r="AH36" s="66" t="str">
        <f t="shared" ref="AH36" si="63">IF(AE36&lt;&gt;"",$AF36*$AD$3,"-")</f>
        <v>-</v>
      </c>
      <c r="AI36" s="74" t="str">
        <f t="shared" ref="AI36" si="64">IF(AE36&lt;&gt;"",$AG36*$AD$3,"-")</f>
        <v>-</v>
      </c>
      <c r="AJ36" s="75" t="str">
        <f t="shared" ref="AJ36" si="65">IF(AE36="","",IF(AND(AH36&gt;=AC36,AI36&lt;=AD36),"O","X"))</f>
        <v/>
      </c>
      <c r="AK36" s="23"/>
      <c r="AL36" s="23"/>
    </row>
    <row r="37" spans="1:38" ht="24.95" customHeight="1" thickBot="1" x14ac:dyDescent="0.35">
      <c r="A37" s="77" t="s">
        <v>75</v>
      </c>
      <c r="B37" s="66" t="s">
        <v>77</v>
      </c>
      <c r="C37" s="66">
        <f>D37/10</f>
        <v>100</v>
      </c>
      <c r="D37" s="66">
        <v>1000</v>
      </c>
      <c r="E37" s="68"/>
      <c r="F37" s="66" t="str">
        <f t="shared" si="51"/>
        <v>-</v>
      </c>
      <c r="G37" s="66" t="str">
        <f t="shared" si="52"/>
        <v>-</v>
      </c>
      <c r="H37" s="66" t="str">
        <f t="shared" si="53"/>
        <v>-</v>
      </c>
      <c r="I37" s="74" t="str">
        <f t="shared" si="54"/>
        <v>-</v>
      </c>
      <c r="J37" s="76" t="str">
        <f>IF(E37="","",IF(AND(H37&gt;=C37,I37&lt;=D37),"O","X"))</f>
        <v/>
      </c>
      <c r="K37" s="37"/>
      <c r="L37" s="38"/>
      <c r="M37" s="37"/>
      <c r="N37" s="77" t="s">
        <v>75</v>
      </c>
      <c r="O37" s="66" t="s">
        <v>77</v>
      </c>
      <c r="P37" s="134">
        <f t="shared" si="12"/>
        <v>66.666666666666657</v>
      </c>
      <c r="Q37" s="134">
        <f t="shared" si="13"/>
        <v>666.66666666666663</v>
      </c>
      <c r="R37" s="78" t="str">
        <f t="shared" si="33"/>
        <v/>
      </c>
      <c r="S37" s="66" t="str">
        <f t="shared" si="2"/>
        <v>-</v>
      </c>
      <c r="T37" s="66" t="str">
        <f t="shared" si="14"/>
        <v>-</v>
      </c>
      <c r="U37" s="66" t="str">
        <f t="shared" si="3"/>
        <v>-</v>
      </c>
      <c r="V37" s="74" t="str">
        <f t="shared" si="15"/>
        <v>-</v>
      </c>
      <c r="W37" s="76" t="str">
        <f t="shared" si="16"/>
        <v/>
      </c>
      <c r="X37" s="37"/>
      <c r="Y37" s="38"/>
      <c r="Z37" s="37"/>
      <c r="AA37" s="77" t="s">
        <v>75</v>
      </c>
      <c r="AB37" s="66" t="s">
        <v>77</v>
      </c>
      <c r="AC37" s="134">
        <f t="shared" si="17"/>
        <v>50</v>
      </c>
      <c r="AD37" s="134">
        <f t="shared" si="4"/>
        <v>500</v>
      </c>
      <c r="AE37" s="78" t="str">
        <f t="shared" si="5"/>
        <v/>
      </c>
      <c r="AF37" s="66" t="str">
        <f t="shared" si="6"/>
        <v>-</v>
      </c>
      <c r="AG37" s="66" t="str">
        <f t="shared" si="7"/>
        <v>-</v>
      </c>
      <c r="AH37" s="66" t="str">
        <f t="shared" si="8"/>
        <v>-</v>
      </c>
      <c r="AI37" s="74" t="str">
        <f t="shared" si="9"/>
        <v>-</v>
      </c>
      <c r="AJ37" s="76" t="str">
        <f t="shared" si="18"/>
        <v/>
      </c>
      <c r="AK37" s="23"/>
      <c r="AL37" s="23"/>
    </row>
    <row r="38" spans="1:38" ht="54.75" customHeight="1" thickTop="1" thickBot="1" x14ac:dyDescent="0.35"/>
    <row r="39" spans="1:38" ht="24.95" customHeight="1" thickTop="1" x14ac:dyDescent="0.3">
      <c r="A39" s="182" t="s">
        <v>111</v>
      </c>
      <c r="B39" s="182"/>
      <c r="C39" s="182"/>
      <c r="D39" s="182"/>
      <c r="E39" s="182"/>
      <c r="F39" s="182"/>
      <c r="G39" s="182"/>
      <c r="H39" s="182"/>
      <c r="I39" s="182"/>
      <c r="J39" s="91" t="s">
        <v>110</v>
      </c>
    </row>
    <row r="40" spans="1:38" ht="27" customHeight="1" x14ac:dyDescent="0.3">
      <c r="A40" s="189" t="s">
        <v>179</v>
      </c>
      <c r="B40" s="190"/>
      <c r="C40" s="190"/>
      <c r="D40" s="190"/>
      <c r="E40" s="190"/>
      <c r="F40" s="190"/>
      <c r="G40" s="190"/>
      <c r="H40" s="190"/>
      <c r="I40" s="191"/>
      <c r="J40" s="79" t="str">
        <f>IF(COUNTA($E$9:$E$37)=0,"",IF(COUNTA(E9:E11)&gt;=1,"O","X"))</f>
        <v>O</v>
      </c>
    </row>
    <row r="41" spans="1:38" ht="27" customHeight="1" x14ac:dyDescent="0.3">
      <c r="A41" s="187" t="s">
        <v>214</v>
      </c>
      <c r="B41" s="187"/>
      <c r="C41" s="187"/>
      <c r="D41" s="187"/>
      <c r="E41" s="187"/>
      <c r="F41" s="187"/>
      <c r="G41" s="187"/>
      <c r="H41" s="187"/>
      <c r="I41" s="188"/>
      <c r="J41" s="75" t="str">
        <f>IF(COUNTA($E$9:$E$37)=0,"",IF(OR(COUNTA(E12:E19)&gt;1,COUNTA(E20:E22)&gt;1,COUNTA(E25:E26)&gt;1),"X","O"))</f>
        <v>O</v>
      </c>
    </row>
    <row r="42" spans="1:38" ht="27" customHeight="1" x14ac:dyDescent="0.3">
      <c r="A42" s="187" t="s">
        <v>215</v>
      </c>
      <c r="B42" s="187"/>
      <c r="C42" s="187"/>
      <c r="D42" s="187"/>
      <c r="E42" s="187"/>
      <c r="F42" s="187"/>
      <c r="G42" s="187"/>
      <c r="H42" s="187"/>
      <c r="I42" s="188"/>
      <c r="J42" s="75" t="str">
        <f>IF(COUNTA($E$9:$E$37)=0,"",IF(E11="","-",IF(COUNTA(E9:E10,E29)&gt;0,"X","O")))</f>
        <v>-</v>
      </c>
      <c r="AK42" s="23"/>
      <c r="AL42" s="23"/>
    </row>
    <row r="43" spans="1:38" ht="27" customHeight="1" x14ac:dyDescent="0.3">
      <c r="A43" s="187" t="s">
        <v>216</v>
      </c>
      <c r="B43" s="187"/>
      <c r="C43" s="187"/>
      <c r="D43" s="187"/>
      <c r="E43" s="187"/>
      <c r="F43" s="187"/>
      <c r="G43" s="187"/>
      <c r="H43" s="187"/>
      <c r="I43" s="188"/>
      <c r="J43" s="75" t="str">
        <f>IF(COUNTA($E$9:$E$37)=0,"",IF(E28="","-",IF(COUNTA(E30)&gt;0,"X","O")))</f>
        <v>-</v>
      </c>
      <c r="AK43" s="23"/>
      <c r="AL43" s="23"/>
    </row>
    <row r="44" spans="1:38" ht="27" customHeight="1" x14ac:dyDescent="0.3">
      <c r="A44" s="187" t="s">
        <v>217</v>
      </c>
      <c r="B44" s="187"/>
      <c r="C44" s="187"/>
      <c r="D44" s="187"/>
      <c r="E44" s="187"/>
      <c r="F44" s="187"/>
      <c r="G44" s="187"/>
      <c r="H44" s="187"/>
      <c r="I44" s="188"/>
      <c r="J44" s="75" t="str">
        <f>IF(COUNTA($E$9:$E$37)=0,"",IF(E29="","-",IF(COUNTA(E11,E30)&gt;0,"X","O")))</f>
        <v>-</v>
      </c>
      <c r="R44" s="131"/>
      <c r="AK44" s="23"/>
      <c r="AL44" s="23"/>
    </row>
    <row r="45" spans="1:38" ht="27" customHeight="1" x14ac:dyDescent="0.3">
      <c r="A45" s="184" t="s">
        <v>218</v>
      </c>
      <c r="B45" s="185"/>
      <c r="C45" s="185"/>
      <c r="D45" s="185"/>
      <c r="E45" s="185"/>
      <c r="F45" s="185"/>
      <c r="G45" s="185"/>
      <c r="H45" s="185"/>
      <c r="I45" s="186"/>
      <c r="J45" s="75" t="str">
        <f>IF(COUNTA($E$9:$E$37)=0,"",IF(COUNTA(E23,E31)&lt;2,"-",IF((I23/D23)+(I31/D31)&lt;=1.5,"O","X")))</f>
        <v>-</v>
      </c>
      <c r="AK45" s="23"/>
      <c r="AL45" s="23"/>
    </row>
    <row r="46" spans="1:38" ht="27" customHeight="1" x14ac:dyDescent="0.3">
      <c r="A46" s="184" t="s">
        <v>219</v>
      </c>
      <c r="B46" s="185"/>
      <c r="C46" s="185"/>
      <c r="D46" s="185"/>
      <c r="E46" s="185"/>
      <c r="F46" s="185"/>
      <c r="G46" s="185"/>
      <c r="H46" s="185"/>
      <c r="I46" s="186"/>
      <c r="J46" s="75" t="str">
        <f>IF(COUNTA($E$9:$E$37)=0,"",IF(COUNTA(E9:E10)&gt;1,IF((I9/D9)+(I10/D10)&lt;=1,"O","X"),"-"))</f>
        <v>-</v>
      </c>
      <c r="AK46" s="23"/>
      <c r="AL46" s="23"/>
    </row>
    <row r="47" spans="1:38" ht="27" customHeight="1" x14ac:dyDescent="0.3">
      <c r="A47" s="184" t="s">
        <v>201</v>
      </c>
      <c r="B47" s="185"/>
      <c r="C47" s="185"/>
      <c r="D47" s="185"/>
      <c r="E47" s="185"/>
      <c r="F47" s="185"/>
      <c r="G47" s="185"/>
      <c r="H47" s="185"/>
      <c r="I47" s="186"/>
      <c r="J47" s="75" t="str">
        <f>IF(COUNTA($E$9:$E$37)=0,"",IF(COUNTA(E35:E36)&gt;1,IF((I35/D35)+(I36/D36)&lt;=1,"O","X"),"-"))</f>
        <v>-</v>
      </c>
      <c r="AK47" s="23"/>
      <c r="AL47" s="23"/>
    </row>
    <row r="48" spans="1:38" ht="27" customHeight="1" x14ac:dyDescent="0.3">
      <c r="A48" s="185" t="s">
        <v>123</v>
      </c>
      <c r="B48" s="185"/>
      <c r="C48" s="185"/>
      <c r="D48" s="185"/>
      <c r="E48" s="185"/>
      <c r="F48" s="185"/>
      <c r="G48" s="185"/>
      <c r="H48" s="185"/>
      <c r="I48" s="186"/>
      <c r="J48" s="133" t="str">
        <f>IF(COUNTA($E$9:$E$37)=0,"",IF(COUNTA(E9:E10)&gt;1,IF((I9/D9)+(I10/D10)&gt;=1/2,"O","X"),"-"))</f>
        <v>-</v>
      </c>
    </row>
    <row r="49" spans="1:10" ht="27" customHeight="1" thickBot="1" x14ac:dyDescent="0.35">
      <c r="A49" s="184" t="s">
        <v>200</v>
      </c>
      <c r="B49" s="185"/>
      <c r="C49" s="185"/>
      <c r="D49" s="185"/>
      <c r="E49" s="185"/>
      <c r="F49" s="185"/>
      <c r="G49" s="185"/>
      <c r="H49" s="185"/>
      <c r="I49" s="186"/>
      <c r="J49" s="132" t="str">
        <f>IF(COUNTA($E$9:$E$37)=0,"",IF(COUNTA(E35:E36)&gt;1,IF((I35/D35)+(I36/D36)&gt;=1/2,"O","X"),"-"))</f>
        <v>-</v>
      </c>
    </row>
    <row r="50" spans="1:10" ht="17.25" thickTop="1" x14ac:dyDescent="0.3"/>
    <row r="51" spans="1:10" x14ac:dyDescent="0.3">
      <c r="D51" s="90"/>
    </row>
  </sheetData>
  <sheetProtection formatCells="0" formatColumns="0" formatRows="0" insertColumns="0" insertRows="0" deleteColumns="0" deleteRows="0"/>
  <mergeCells count="52">
    <mergeCell ref="A49:I49"/>
    <mergeCell ref="A40:I40"/>
    <mergeCell ref="A41:I41"/>
    <mergeCell ref="A45:I45"/>
    <mergeCell ref="A48:I48"/>
    <mergeCell ref="A47:I47"/>
    <mergeCell ref="E1:K1"/>
    <mergeCell ref="A46:I46"/>
    <mergeCell ref="A6:B6"/>
    <mergeCell ref="A32:A34"/>
    <mergeCell ref="B3:B4"/>
    <mergeCell ref="A42:I42"/>
    <mergeCell ref="A43:I43"/>
    <mergeCell ref="A44:I44"/>
    <mergeCell ref="AF7:AI7"/>
    <mergeCell ref="AJ7:AJ8"/>
    <mergeCell ref="O3:O4"/>
    <mergeCell ref="AB3:AB4"/>
    <mergeCell ref="A39:I39"/>
    <mergeCell ref="N6:O6"/>
    <mergeCell ref="AA6:AB6"/>
    <mergeCell ref="W7:W8"/>
    <mergeCell ref="AA7:AA8"/>
    <mergeCell ref="AB7:AB8"/>
    <mergeCell ref="AC7:AD7"/>
    <mergeCell ref="AE7:AE8"/>
    <mergeCell ref="B7:B8"/>
    <mergeCell ref="A7:A8"/>
    <mergeCell ref="N7:N8"/>
    <mergeCell ref="O7:O8"/>
    <mergeCell ref="AA9:AA10"/>
    <mergeCell ref="P7:Q7"/>
    <mergeCell ref="C7:D7"/>
    <mergeCell ref="F7:I7"/>
    <mergeCell ref="E7:E8"/>
    <mergeCell ref="J7:J8"/>
    <mergeCell ref="Q1:V1"/>
    <mergeCell ref="N32:N34"/>
    <mergeCell ref="AA32:AA34"/>
    <mergeCell ref="A20:A22"/>
    <mergeCell ref="N20:N22"/>
    <mergeCell ref="AA20:AA22"/>
    <mergeCell ref="R7:R8"/>
    <mergeCell ref="S7:V7"/>
    <mergeCell ref="A25:A26"/>
    <mergeCell ref="N25:N26"/>
    <mergeCell ref="AA25:AA26"/>
    <mergeCell ref="A12:A19"/>
    <mergeCell ref="AA12:AA19"/>
    <mergeCell ref="N12:N19"/>
    <mergeCell ref="A9:A10"/>
    <mergeCell ref="N9:N10"/>
  </mergeCells>
  <phoneticPr fontId="3" type="noConversion"/>
  <conditionalFormatting sqref="J40:J49">
    <cfRule type="containsText" dxfId="10" priority="3" operator="containsText" text="X">
      <formula>NOT(ISERROR(SEARCH("X",J40)))</formula>
    </cfRule>
  </conditionalFormatting>
  <conditionalFormatting sqref="AJ9:AJ37 J9:J38 W9:W49">
    <cfRule type="containsText" dxfId="9" priority="11" operator="containsText" text="X">
      <formula>NOT(ISERROR(SEARCH("X",J9)))</formula>
    </cfRule>
  </conditionalFormatting>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93"/>
  <sheetViews>
    <sheetView showGridLines="0" zoomScale="85" zoomScaleNormal="85" workbookViewId="0">
      <selection activeCell="D17" sqref="D17"/>
    </sheetView>
  </sheetViews>
  <sheetFormatPr defaultRowHeight="16.5" x14ac:dyDescent="0.3"/>
  <cols>
    <col min="1" max="1" width="5.625" customWidth="1"/>
    <col min="2" max="2" width="17.625" style="23" customWidth="1"/>
    <col min="3" max="5" width="7.625" customWidth="1"/>
    <col min="6" max="12" width="7.625" style="23" customWidth="1"/>
    <col min="13" max="13" width="1.375" customWidth="1"/>
    <col min="14" max="14" width="1.25" style="14" customWidth="1"/>
    <col min="15" max="15" width="1.25" customWidth="1"/>
    <col min="16" max="16" width="5.625" customWidth="1"/>
    <col min="17" max="17" width="17.625" style="23" customWidth="1"/>
    <col min="18" max="18" width="7.625" style="23" customWidth="1"/>
    <col min="19" max="20" width="7.625" customWidth="1"/>
    <col min="21" max="27" width="7.625" style="23" customWidth="1"/>
    <col min="28" max="28" width="1.25" customWidth="1"/>
    <col min="29" max="29" width="1.25" style="14" customWidth="1"/>
    <col min="30" max="30" width="1.25" customWidth="1"/>
    <col min="31" max="31" width="5.625" customWidth="1"/>
    <col min="32" max="32" width="17.625" style="23" customWidth="1"/>
    <col min="33" max="33" width="7.625" style="23" customWidth="1"/>
    <col min="34" max="35" width="7.625" customWidth="1"/>
    <col min="36" max="40" width="7.625" style="23" customWidth="1"/>
    <col min="41" max="42" width="7.625" customWidth="1"/>
  </cols>
  <sheetData>
    <row r="1" spans="1:44" ht="51.75" customHeight="1" x14ac:dyDescent="0.3">
      <c r="A1" s="102" t="s">
        <v>126</v>
      </c>
      <c r="B1" s="103"/>
      <c r="C1" s="103"/>
      <c r="D1" s="103"/>
      <c r="E1" s="104"/>
      <c r="F1" s="104"/>
      <c r="G1" s="151" t="s">
        <v>120</v>
      </c>
      <c r="H1" s="151"/>
      <c r="I1" s="151"/>
      <c r="J1" s="151"/>
      <c r="K1" s="151"/>
      <c r="L1" s="151"/>
      <c r="M1" s="151"/>
      <c r="AO1" s="24"/>
      <c r="AP1" s="24"/>
    </row>
    <row r="2" spans="1:44" ht="27" thickBot="1" x14ac:dyDescent="0.35">
      <c r="A2" s="18"/>
    </row>
    <row r="3" spans="1:44" s="39" customFormat="1" ht="24" customHeight="1" thickTop="1" x14ac:dyDescent="0.3">
      <c r="B3" s="180" t="s">
        <v>37</v>
      </c>
      <c r="C3" s="83" t="s">
        <v>38</v>
      </c>
      <c r="D3" s="92"/>
      <c r="E3" s="83" t="s">
        <v>85</v>
      </c>
      <c r="F3" s="92"/>
      <c r="G3" s="93" t="s">
        <v>33</v>
      </c>
      <c r="I3" s="51"/>
      <c r="N3" s="40"/>
      <c r="Q3" s="180" t="s">
        <v>37</v>
      </c>
      <c r="R3" s="83" t="s">
        <v>38</v>
      </c>
      <c r="S3" s="92">
        <v>3</v>
      </c>
      <c r="T3" s="83" t="s">
        <v>85</v>
      </c>
      <c r="U3" s="92">
        <v>3</v>
      </c>
      <c r="V3" s="93" t="s">
        <v>33</v>
      </c>
      <c r="Y3" s="51"/>
      <c r="Z3" s="51"/>
      <c r="AA3" s="51"/>
      <c r="AC3" s="40"/>
      <c r="AF3" s="180" t="s">
        <v>37</v>
      </c>
      <c r="AG3" s="83" t="s">
        <v>38</v>
      </c>
      <c r="AH3" s="92">
        <v>3</v>
      </c>
      <c r="AI3" s="83" t="s">
        <v>85</v>
      </c>
      <c r="AJ3" s="92">
        <v>3</v>
      </c>
      <c r="AK3" s="93" t="s">
        <v>33</v>
      </c>
      <c r="AN3" s="51"/>
    </row>
    <row r="4" spans="1:44" s="39" customFormat="1" ht="24" customHeight="1" thickBot="1" x14ac:dyDescent="0.35">
      <c r="B4" s="181"/>
      <c r="C4" s="85" t="s">
        <v>39</v>
      </c>
      <c r="D4" s="87"/>
      <c r="E4" s="85" t="s">
        <v>85</v>
      </c>
      <c r="F4" s="87"/>
      <c r="G4" s="86" t="s">
        <v>34</v>
      </c>
      <c r="I4" s="51"/>
      <c r="N4" s="40"/>
      <c r="Q4" s="181"/>
      <c r="R4" s="85" t="s">
        <v>39</v>
      </c>
      <c r="S4" s="87">
        <v>3</v>
      </c>
      <c r="T4" s="85" t="s">
        <v>85</v>
      </c>
      <c r="U4" s="87">
        <v>3</v>
      </c>
      <c r="V4" s="86" t="s">
        <v>34</v>
      </c>
      <c r="Y4" s="51"/>
      <c r="Z4" s="51"/>
      <c r="AA4" s="51"/>
      <c r="AC4" s="40"/>
      <c r="AF4" s="181"/>
      <c r="AG4" s="85" t="s">
        <v>39</v>
      </c>
      <c r="AH4" s="87">
        <v>2</v>
      </c>
      <c r="AI4" s="85" t="s">
        <v>85</v>
      </c>
      <c r="AJ4" s="87">
        <v>2</v>
      </c>
      <c r="AK4" s="86" t="s">
        <v>34</v>
      </c>
      <c r="AN4" s="51"/>
    </row>
    <row r="5" spans="1:44" ht="20.100000000000001" customHeight="1" thickTop="1" x14ac:dyDescent="0.3">
      <c r="A5" s="23"/>
      <c r="D5" s="24"/>
      <c r="E5" s="24"/>
      <c r="P5" s="23"/>
      <c r="T5" s="24"/>
      <c r="AE5" s="23"/>
      <c r="AI5" s="24"/>
    </row>
    <row r="6" spans="1:44" s="37" customFormat="1" ht="33" customHeight="1" thickBot="1" x14ac:dyDescent="0.35">
      <c r="A6" s="173" t="s">
        <v>132</v>
      </c>
      <c r="B6" s="174"/>
      <c r="C6" s="42">
        <v>1</v>
      </c>
      <c r="F6" s="34"/>
      <c r="G6" s="34"/>
      <c r="H6" s="34"/>
      <c r="I6" s="34"/>
      <c r="J6" s="34"/>
      <c r="K6" s="34"/>
      <c r="L6" s="34"/>
      <c r="N6" s="38"/>
      <c r="P6" s="173" t="s">
        <v>133</v>
      </c>
      <c r="Q6" s="174"/>
      <c r="R6" s="43">
        <v>0.66666666666666663</v>
      </c>
      <c r="U6" s="34"/>
      <c r="V6" s="34"/>
      <c r="W6" s="34"/>
      <c r="X6" s="34"/>
      <c r="Y6" s="34"/>
      <c r="Z6" s="34"/>
      <c r="AA6" s="34"/>
      <c r="AC6" s="38"/>
      <c r="AE6" s="173" t="s">
        <v>134</v>
      </c>
      <c r="AF6" s="174"/>
      <c r="AG6" s="43">
        <v>0.5</v>
      </c>
      <c r="AJ6" s="34"/>
      <c r="AK6" s="34"/>
      <c r="AL6" s="34"/>
      <c r="AM6" s="34"/>
      <c r="AN6" s="34"/>
      <c r="AP6" s="44"/>
    </row>
    <row r="7" spans="1:44" s="37" customFormat="1" ht="23.25" customHeight="1" thickTop="1" x14ac:dyDescent="0.3">
      <c r="A7" s="211"/>
      <c r="B7" s="221" t="s">
        <v>91</v>
      </c>
      <c r="C7" s="150" t="s">
        <v>106</v>
      </c>
      <c r="D7" s="201"/>
      <c r="E7" s="201"/>
      <c r="F7" s="202"/>
      <c r="G7" s="218" t="s">
        <v>92</v>
      </c>
      <c r="H7" s="150" t="s">
        <v>121</v>
      </c>
      <c r="I7" s="201"/>
      <c r="J7" s="201"/>
      <c r="K7" s="220"/>
      <c r="L7" s="213" t="s">
        <v>93</v>
      </c>
      <c r="N7" s="38"/>
      <c r="P7" s="217"/>
      <c r="Q7" s="149" t="s">
        <v>36</v>
      </c>
      <c r="R7" s="149" t="s">
        <v>106</v>
      </c>
      <c r="S7" s="149"/>
      <c r="T7" s="149"/>
      <c r="U7" s="149"/>
      <c r="V7" s="148" t="s">
        <v>29</v>
      </c>
      <c r="W7" s="149" t="s">
        <v>121</v>
      </c>
      <c r="X7" s="149"/>
      <c r="Y7" s="149"/>
      <c r="Z7" s="150"/>
      <c r="AA7" s="215" t="s">
        <v>44</v>
      </c>
      <c r="AC7" s="38"/>
      <c r="AE7" s="217"/>
      <c r="AF7" s="149" t="s">
        <v>36</v>
      </c>
      <c r="AG7" s="149" t="s">
        <v>106</v>
      </c>
      <c r="AH7" s="149"/>
      <c r="AI7" s="149"/>
      <c r="AJ7" s="149"/>
      <c r="AK7" s="148" t="s">
        <v>29</v>
      </c>
      <c r="AL7" s="149" t="s">
        <v>121</v>
      </c>
      <c r="AM7" s="149"/>
      <c r="AN7" s="149"/>
      <c r="AO7" s="150"/>
      <c r="AP7" s="215" t="s">
        <v>44</v>
      </c>
    </row>
    <row r="8" spans="1:44" s="37" customFormat="1" ht="23.25" customHeight="1" x14ac:dyDescent="0.3">
      <c r="A8" s="212"/>
      <c r="B8" s="222"/>
      <c r="C8" s="65" t="s">
        <v>102</v>
      </c>
      <c r="D8" s="65" t="s">
        <v>103</v>
      </c>
      <c r="E8" s="65" t="s">
        <v>104</v>
      </c>
      <c r="F8" s="65" t="s">
        <v>105</v>
      </c>
      <c r="G8" s="219"/>
      <c r="H8" s="65" t="s">
        <v>102</v>
      </c>
      <c r="I8" s="65" t="s">
        <v>103</v>
      </c>
      <c r="J8" s="65" t="s">
        <v>104</v>
      </c>
      <c r="K8" s="73" t="s">
        <v>105</v>
      </c>
      <c r="L8" s="214"/>
      <c r="M8" s="34"/>
      <c r="N8" s="35"/>
      <c r="O8" s="36"/>
      <c r="P8" s="217"/>
      <c r="Q8" s="149"/>
      <c r="R8" s="65" t="s">
        <v>102</v>
      </c>
      <c r="S8" s="65" t="s">
        <v>103</v>
      </c>
      <c r="T8" s="65" t="s">
        <v>104</v>
      </c>
      <c r="U8" s="65" t="s">
        <v>105</v>
      </c>
      <c r="V8" s="148"/>
      <c r="W8" s="65" t="s">
        <v>102</v>
      </c>
      <c r="X8" s="65" t="s">
        <v>103</v>
      </c>
      <c r="Y8" s="65" t="s">
        <v>104</v>
      </c>
      <c r="Z8" s="73" t="s">
        <v>105</v>
      </c>
      <c r="AA8" s="216"/>
      <c r="AB8" s="34"/>
      <c r="AC8" s="35"/>
      <c r="AD8" s="36"/>
      <c r="AE8" s="217"/>
      <c r="AF8" s="149"/>
      <c r="AG8" s="65" t="s">
        <v>102</v>
      </c>
      <c r="AH8" s="65" t="s">
        <v>103</v>
      </c>
      <c r="AI8" s="65" t="s">
        <v>104</v>
      </c>
      <c r="AJ8" s="65" t="s">
        <v>105</v>
      </c>
      <c r="AK8" s="148"/>
      <c r="AL8" s="65" t="s">
        <v>102</v>
      </c>
      <c r="AM8" s="65" t="s">
        <v>103</v>
      </c>
      <c r="AN8" s="65" t="s">
        <v>104</v>
      </c>
      <c r="AO8" s="73" t="s">
        <v>105</v>
      </c>
      <c r="AP8" s="216"/>
      <c r="AQ8" s="56"/>
      <c r="AR8" s="49"/>
    </row>
    <row r="9" spans="1:44" s="37" customFormat="1" ht="24.95" customHeight="1" x14ac:dyDescent="0.3">
      <c r="A9" s="144">
        <v>1</v>
      </c>
      <c r="B9" s="66" t="s">
        <v>81</v>
      </c>
      <c r="C9" s="66">
        <f>D9/2</f>
        <v>10</v>
      </c>
      <c r="D9" s="66">
        <v>20</v>
      </c>
      <c r="E9" s="66">
        <f>F9/2</f>
        <v>30</v>
      </c>
      <c r="F9" s="66">
        <v>60</v>
      </c>
      <c r="G9" s="68"/>
      <c r="H9" s="66" t="str">
        <f>IF(G9&lt;&gt;"",$G9*$D$4,"-")</f>
        <v>-</v>
      </c>
      <c r="I9" s="66" t="str">
        <f t="shared" ref="I9:I24" si="0">IF(G9&lt;&gt;"",$G9*$F$4,"-")</f>
        <v>-</v>
      </c>
      <c r="J9" s="66" t="str">
        <f t="shared" ref="J9:J24" si="1">IF(G9&lt;&gt;"",$H9*$D$3,"-")</f>
        <v>-</v>
      </c>
      <c r="K9" s="74" t="str">
        <f>IF(G9&lt;&gt;"",$I9*$F$3,"-")</f>
        <v>-</v>
      </c>
      <c r="L9" s="75" t="str">
        <f>IF(G9="","",IF(AND(F9&gt;=K9,E9&lt;=J9,D9&gt;=I9,C9&lt;=H9),"O","X"))</f>
        <v/>
      </c>
      <c r="M9" s="34"/>
      <c r="N9" s="38"/>
      <c r="P9" s="144">
        <v>1</v>
      </c>
      <c r="Q9" s="66" t="s">
        <v>8</v>
      </c>
      <c r="R9" s="66">
        <f>S9/2</f>
        <v>6.6666666666666661</v>
      </c>
      <c r="S9" s="66">
        <f>D9*$R$6</f>
        <v>13.333333333333332</v>
      </c>
      <c r="T9" s="66">
        <f>U9/2</f>
        <v>20</v>
      </c>
      <c r="U9" s="66">
        <f>F9*$R$6</f>
        <v>40</v>
      </c>
      <c r="V9" s="66" t="str">
        <f t="shared" ref="V9:V24" si="2">IF(G9&lt;&gt;"",G9,"")</f>
        <v/>
      </c>
      <c r="W9" s="66" t="str">
        <f t="shared" ref="W9:W24" si="3">IF(V9&lt;&gt;"",$G9*$S$4,"-")</f>
        <v>-</v>
      </c>
      <c r="X9" s="66" t="str">
        <f t="shared" ref="X9:X24" si="4">IF(V9&lt;&gt;"",$G9*$U$4,"-")</f>
        <v>-</v>
      </c>
      <c r="Y9" s="66" t="str">
        <f>IF(V9&lt;&gt;"",$W9*$S$3,"-")</f>
        <v>-</v>
      </c>
      <c r="Z9" s="74" t="str">
        <f>IF(V9&lt;&gt;"",$X9*$U$3,"-")</f>
        <v>-</v>
      </c>
      <c r="AA9" s="75" t="str">
        <f>IF(V9="","",IF(AND(U9&gt;=Z9,T9&lt;=Y9,S9&gt;=X9,R9&lt;=W9),"O","X"))</f>
        <v/>
      </c>
      <c r="AB9" s="34"/>
      <c r="AC9" s="38"/>
      <c r="AE9" s="144">
        <v>1</v>
      </c>
      <c r="AF9" s="66" t="s">
        <v>8</v>
      </c>
      <c r="AG9" s="66">
        <f>AH9/2</f>
        <v>5</v>
      </c>
      <c r="AH9" s="66">
        <f>D9*$AG$6</f>
        <v>10</v>
      </c>
      <c r="AI9" s="66">
        <f>AJ9/2</f>
        <v>15</v>
      </c>
      <c r="AJ9" s="66">
        <f>F9*$AG$6</f>
        <v>30</v>
      </c>
      <c r="AK9" s="66" t="str">
        <f t="shared" ref="AK9:AK24" si="5">IF(V9&lt;&gt;"",V9,"")</f>
        <v/>
      </c>
      <c r="AL9" s="66" t="str">
        <f t="shared" ref="AL9:AL24" si="6">IF(AK9&lt;&gt;"",$G9*$AH$4,"-")</f>
        <v>-</v>
      </c>
      <c r="AM9" s="66" t="str">
        <f t="shared" ref="AM9:AM24" si="7">IF(AK9&lt;&gt;"",$G9*$AJ$4,"-")</f>
        <v>-</v>
      </c>
      <c r="AN9" s="66" t="str">
        <f>IF(AK9&lt;&gt;"",$AM9*$AH$3,"-")</f>
        <v>-</v>
      </c>
      <c r="AO9" s="74" t="str">
        <f>IF(AK9&lt;&gt;"",$AM9*$AJ$3,"-")</f>
        <v>-</v>
      </c>
      <c r="AP9" s="75" t="str">
        <f>IF(AK9="","",IF(AND(AJ9&gt;=AO9,AI9&lt;=AN9,AH9&gt;=AM9,AG9&lt;=AL9),"O","X"))</f>
        <v/>
      </c>
      <c r="AQ9" s="44"/>
      <c r="AR9" s="44"/>
    </row>
    <row r="10" spans="1:44" s="37" customFormat="1" ht="24.95" customHeight="1" x14ac:dyDescent="0.3">
      <c r="A10" s="155"/>
      <c r="B10" s="66" t="s">
        <v>12</v>
      </c>
      <c r="C10" s="66">
        <f t="shared" ref="C10:C23" si="8">D10/2</f>
        <v>10</v>
      </c>
      <c r="D10" s="66">
        <v>20</v>
      </c>
      <c r="E10" s="66">
        <f t="shared" ref="E10:E23" si="9">F10/2</f>
        <v>30</v>
      </c>
      <c r="F10" s="66">
        <v>60</v>
      </c>
      <c r="G10" s="68"/>
      <c r="H10" s="66" t="str">
        <f>IF(G10&lt;&gt;"",$G10*$D$4,"-")</f>
        <v>-</v>
      </c>
      <c r="I10" s="66" t="str">
        <f t="shared" si="0"/>
        <v>-</v>
      </c>
      <c r="J10" s="66" t="str">
        <f t="shared" si="1"/>
        <v>-</v>
      </c>
      <c r="K10" s="74" t="str">
        <f t="shared" ref="K10:K24" si="10">IF(G10&lt;&gt;"",$I10*$F$3,"-")</f>
        <v>-</v>
      </c>
      <c r="L10" s="75" t="str">
        <f t="shared" ref="L10:L24" si="11">IF(G10="","",IF(AND(F10&gt;=K10,E10&lt;=J10,D10&gt;=I10,C10&lt;=H10),"O","X"))</f>
        <v/>
      </c>
      <c r="M10" s="34"/>
      <c r="N10" s="38"/>
      <c r="P10" s="155"/>
      <c r="Q10" s="66" t="s">
        <v>12</v>
      </c>
      <c r="R10" s="66">
        <f t="shared" ref="R10:R23" si="12">S10/2</f>
        <v>6.6666666666666661</v>
      </c>
      <c r="S10" s="66">
        <f t="shared" ref="S10:S24" si="13">D10*$R$6</f>
        <v>13.333333333333332</v>
      </c>
      <c r="T10" s="66">
        <f t="shared" ref="T10:T23" si="14">U10/2</f>
        <v>20</v>
      </c>
      <c r="U10" s="66">
        <f t="shared" ref="U10:U24" si="15">F10*$R$6</f>
        <v>40</v>
      </c>
      <c r="V10" s="66" t="str">
        <f t="shared" si="2"/>
        <v/>
      </c>
      <c r="W10" s="66" t="str">
        <f t="shared" si="3"/>
        <v>-</v>
      </c>
      <c r="X10" s="66" t="str">
        <f t="shared" si="4"/>
        <v>-</v>
      </c>
      <c r="Y10" s="66" t="str">
        <f t="shared" ref="Y10:Y24" si="16">IF(V10&lt;&gt;"",$W10*$S$3,"-")</f>
        <v>-</v>
      </c>
      <c r="Z10" s="74" t="str">
        <f t="shared" ref="Z10:Z24" si="17">IF(V10&lt;&gt;"",$X10*$U$3,"-")</f>
        <v>-</v>
      </c>
      <c r="AA10" s="75" t="str">
        <f t="shared" ref="AA10:AA24" si="18">IF(V10="","",IF(AND(U10&gt;=Z10,T10&lt;=Y10,S10&gt;=X10,R10&lt;=W10),"O","X"))</f>
        <v/>
      </c>
      <c r="AB10" s="34"/>
      <c r="AC10" s="38"/>
      <c r="AE10" s="155"/>
      <c r="AF10" s="66" t="s">
        <v>12</v>
      </c>
      <c r="AG10" s="66">
        <f t="shared" ref="AG10:AG23" si="19">AH10/2</f>
        <v>5</v>
      </c>
      <c r="AH10" s="66">
        <f t="shared" ref="AH10:AH24" si="20">D10*$AG$6</f>
        <v>10</v>
      </c>
      <c r="AI10" s="66">
        <f t="shared" ref="AI10:AI23" si="21">AJ10/2</f>
        <v>15</v>
      </c>
      <c r="AJ10" s="66">
        <f t="shared" ref="AJ10:AJ24" si="22">F10*$AG$6</f>
        <v>30</v>
      </c>
      <c r="AK10" s="66" t="str">
        <f t="shared" si="5"/>
        <v/>
      </c>
      <c r="AL10" s="66" t="str">
        <f t="shared" si="6"/>
        <v>-</v>
      </c>
      <c r="AM10" s="66" t="str">
        <f t="shared" si="7"/>
        <v>-</v>
      </c>
      <c r="AN10" s="66" t="str">
        <f t="shared" ref="AN10:AN24" si="23">IF(AK10&lt;&gt;"",$AM10*$AH$3,"-")</f>
        <v>-</v>
      </c>
      <c r="AO10" s="74" t="str">
        <f t="shared" ref="AO10:AO24" si="24">IF(AK10&lt;&gt;"",$AM10*$AJ$3,"-")</f>
        <v>-</v>
      </c>
      <c r="AP10" s="75" t="str">
        <f t="shared" ref="AP10:AP24" si="25">IF(AK10="","",IF(AND(AJ10&gt;=AO10,AI10&lt;=AN10,AH10&gt;=AM10,AG10&lt;=AL10),"O","X"))</f>
        <v/>
      </c>
      <c r="AQ10" s="44"/>
      <c r="AR10" s="44"/>
    </row>
    <row r="11" spans="1:44" s="37" customFormat="1" ht="24.95" customHeight="1" x14ac:dyDescent="0.3">
      <c r="A11" s="155"/>
      <c r="B11" s="66" t="s">
        <v>94</v>
      </c>
      <c r="C11" s="66">
        <f t="shared" si="8"/>
        <v>10</v>
      </c>
      <c r="D11" s="66">
        <v>20</v>
      </c>
      <c r="E11" s="66">
        <f t="shared" si="9"/>
        <v>30</v>
      </c>
      <c r="F11" s="66">
        <v>60</v>
      </c>
      <c r="G11" s="68"/>
      <c r="H11" s="66" t="str">
        <f t="shared" ref="H11:H24" si="26">IF(G11&lt;&gt;"",$G11*$D$4,"-")</f>
        <v>-</v>
      </c>
      <c r="I11" s="66" t="str">
        <f t="shared" si="0"/>
        <v>-</v>
      </c>
      <c r="J11" s="66" t="str">
        <f t="shared" si="1"/>
        <v>-</v>
      </c>
      <c r="K11" s="74" t="str">
        <f t="shared" si="10"/>
        <v>-</v>
      </c>
      <c r="L11" s="75" t="str">
        <f t="shared" si="11"/>
        <v/>
      </c>
      <c r="M11" s="34"/>
      <c r="N11" s="38"/>
      <c r="P11" s="155"/>
      <c r="Q11" s="66" t="s">
        <v>13</v>
      </c>
      <c r="R11" s="66">
        <f t="shared" si="12"/>
        <v>6.6666666666666661</v>
      </c>
      <c r="S11" s="66">
        <f t="shared" si="13"/>
        <v>13.333333333333332</v>
      </c>
      <c r="T11" s="66">
        <f t="shared" si="14"/>
        <v>20</v>
      </c>
      <c r="U11" s="66">
        <f t="shared" si="15"/>
        <v>40</v>
      </c>
      <c r="V11" s="66" t="str">
        <f t="shared" si="2"/>
        <v/>
      </c>
      <c r="W11" s="66" t="str">
        <f t="shared" si="3"/>
        <v>-</v>
      </c>
      <c r="X11" s="66" t="str">
        <f t="shared" si="4"/>
        <v>-</v>
      </c>
      <c r="Y11" s="66" t="str">
        <f t="shared" si="16"/>
        <v>-</v>
      </c>
      <c r="Z11" s="74" t="str">
        <f t="shared" si="17"/>
        <v>-</v>
      </c>
      <c r="AA11" s="75" t="str">
        <f t="shared" si="18"/>
        <v/>
      </c>
      <c r="AB11" s="34"/>
      <c r="AC11" s="38"/>
      <c r="AE11" s="155"/>
      <c r="AF11" s="66" t="s">
        <v>13</v>
      </c>
      <c r="AG11" s="66">
        <f t="shared" si="19"/>
        <v>5</v>
      </c>
      <c r="AH11" s="66">
        <f t="shared" si="20"/>
        <v>10</v>
      </c>
      <c r="AI11" s="66">
        <f t="shared" si="21"/>
        <v>15</v>
      </c>
      <c r="AJ11" s="66">
        <f t="shared" si="22"/>
        <v>30</v>
      </c>
      <c r="AK11" s="66" t="str">
        <f t="shared" si="5"/>
        <v/>
      </c>
      <c r="AL11" s="66" t="str">
        <f t="shared" si="6"/>
        <v>-</v>
      </c>
      <c r="AM11" s="66" t="str">
        <f t="shared" si="7"/>
        <v>-</v>
      </c>
      <c r="AN11" s="66" t="str">
        <f t="shared" si="23"/>
        <v>-</v>
      </c>
      <c r="AO11" s="74" t="str">
        <f t="shared" si="24"/>
        <v>-</v>
      </c>
      <c r="AP11" s="75" t="str">
        <f t="shared" si="25"/>
        <v/>
      </c>
      <c r="AQ11" s="34"/>
      <c r="AR11" s="34"/>
    </row>
    <row r="12" spans="1:44" s="37" customFormat="1" ht="24.95" customHeight="1" x14ac:dyDescent="0.3">
      <c r="A12" s="155"/>
      <c r="B12" s="66" t="s">
        <v>88</v>
      </c>
      <c r="C12" s="66">
        <f t="shared" si="8"/>
        <v>12.5</v>
      </c>
      <c r="D12" s="66">
        <v>25</v>
      </c>
      <c r="E12" s="66">
        <f t="shared" si="9"/>
        <v>37.5</v>
      </c>
      <c r="F12" s="66">
        <v>75</v>
      </c>
      <c r="G12" s="68"/>
      <c r="H12" s="66" t="str">
        <f t="shared" si="26"/>
        <v>-</v>
      </c>
      <c r="I12" s="66" t="str">
        <f t="shared" si="0"/>
        <v>-</v>
      </c>
      <c r="J12" s="66" t="str">
        <f t="shared" si="1"/>
        <v>-</v>
      </c>
      <c r="K12" s="74" t="str">
        <f t="shared" si="10"/>
        <v>-</v>
      </c>
      <c r="L12" s="75" t="str">
        <f t="shared" si="11"/>
        <v/>
      </c>
      <c r="M12" s="34"/>
      <c r="N12" s="38"/>
      <c r="P12" s="155"/>
      <c r="Q12" s="66" t="s">
        <v>88</v>
      </c>
      <c r="R12" s="66">
        <f t="shared" si="12"/>
        <v>8.3333333333333321</v>
      </c>
      <c r="S12" s="66">
        <f t="shared" si="13"/>
        <v>16.666666666666664</v>
      </c>
      <c r="T12" s="66">
        <f t="shared" si="14"/>
        <v>25</v>
      </c>
      <c r="U12" s="66">
        <f t="shared" si="15"/>
        <v>50</v>
      </c>
      <c r="V12" s="66" t="str">
        <f t="shared" si="2"/>
        <v/>
      </c>
      <c r="W12" s="66" t="str">
        <f t="shared" si="3"/>
        <v>-</v>
      </c>
      <c r="X12" s="66" t="str">
        <f t="shared" si="4"/>
        <v>-</v>
      </c>
      <c r="Y12" s="66" t="str">
        <f t="shared" si="16"/>
        <v>-</v>
      </c>
      <c r="Z12" s="74" t="str">
        <f t="shared" si="17"/>
        <v>-</v>
      </c>
      <c r="AA12" s="75" t="str">
        <f t="shared" si="18"/>
        <v/>
      </c>
      <c r="AB12" s="34"/>
      <c r="AC12" s="38"/>
      <c r="AE12" s="155"/>
      <c r="AF12" s="66" t="s">
        <v>88</v>
      </c>
      <c r="AG12" s="66">
        <f t="shared" si="19"/>
        <v>6.25</v>
      </c>
      <c r="AH12" s="66">
        <f t="shared" si="20"/>
        <v>12.5</v>
      </c>
      <c r="AI12" s="66">
        <f t="shared" si="21"/>
        <v>18.75</v>
      </c>
      <c r="AJ12" s="66">
        <f t="shared" si="22"/>
        <v>37.5</v>
      </c>
      <c r="AK12" s="66" t="str">
        <f t="shared" si="5"/>
        <v/>
      </c>
      <c r="AL12" s="66" t="str">
        <f t="shared" si="6"/>
        <v>-</v>
      </c>
      <c r="AM12" s="66" t="str">
        <f t="shared" si="7"/>
        <v>-</v>
      </c>
      <c r="AN12" s="66" t="str">
        <f t="shared" si="23"/>
        <v>-</v>
      </c>
      <c r="AO12" s="74" t="str">
        <f t="shared" si="24"/>
        <v>-</v>
      </c>
      <c r="AP12" s="75" t="str">
        <f t="shared" si="25"/>
        <v/>
      </c>
      <c r="AQ12" s="34"/>
      <c r="AR12" s="34"/>
    </row>
    <row r="13" spans="1:44" s="37" customFormat="1" ht="24.95" customHeight="1" x14ac:dyDescent="0.3">
      <c r="A13" s="155">
        <v>2</v>
      </c>
      <c r="B13" s="66" t="s">
        <v>82</v>
      </c>
      <c r="C13" s="66">
        <f>IF(COUNTA($G$9:$G$12,$G$15)&gt;0,D13/5,D13/2)</f>
        <v>12.5</v>
      </c>
      <c r="D13" s="66">
        <v>25</v>
      </c>
      <c r="E13" s="66">
        <f>IF(COUNTA($G$9:$G$12,$G$15)&gt;0,F13/5,F13/2)</f>
        <v>37.5</v>
      </c>
      <c r="F13" s="66">
        <v>75</v>
      </c>
      <c r="G13" s="68"/>
      <c r="H13" s="66" t="str">
        <f t="shared" si="26"/>
        <v>-</v>
      </c>
      <c r="I13" s="66" t="str">
        <f t="shared" si="0"/>
        <v>-</v>
      </c>
      <c r="J13" s="66" t="str">
        <f t="shared" si="1"/>
        <v>-</v>
      </c>
      <c r="K13" s="74" t="str">
        <f t="shared" si="10"/>
        <v>-</v>
      </c>
      <c r="L13" s="75" t="str">
        <f t="shared" si="11"/>
        <v/>
      </c>
      <c r="M13" s="34"/>
      <c r="N13" s="38"/>
      <c r="P13" s="155">
        <v>2</v>
      </c>
      <c r="Q13" s="66" t="s">
        <v>14</v>
      </c>
      <c r="R13" s="66">
        <f>IF(COUNTA($G$9:$G$12,$G$15)&gt;0,S13/5,S13/2)</f>
        <v>8.3333333333333321</v>
      </c>
      <c r="S13" s="66">
        <f t="shared" si="13"/>
        <v>16.666666666666664</v>
      </c>
      <c r="T13" s="66">
        <f>IF(COUNTA($G$9:$G$12,$G$15)&gt;0,U13/5,U13/2)</f>
        <v>25</v>
      </c>
      <c r="U13" s="66">
        <f t="shared" si="15"/>
        <v>50</v>
      </c>
      <c r="V13" s="66" t="str">
        <f t="shared" si="2"/>
        <v/>
      </c>
      <c r="W13" s="66" t="str">
        <f t="shared" si="3"/>
        <v>-</v>
      </c>
      <c r="X13" s="66" t="str">
        <f t="shared" si="4"/>
        <v>-</v>
      </c>
      <c r="Y13" s="66" t="str">
        <f t="shared" si="16"/>
        <v>-</v>
      </c>
      <c r="Z13" s="74" t="str">
        <f t="shared" si="17"/>
        <v>-</v>
      </c>
      <c r="AA13" s="75" t="str">
        <f t="shared" si="18"/>
        <v/>
      </c>
      <c r="AB13" s="34"/>
      <c r="AC13" s="38"/>
      <c r="AE13" s="155">
        <v>2</v>
      </c>
      <c r="AF13" s="66" t="s">
        <v>14</v>
      </c>
      <c r="AG13" s="66">
        <f>IF(COUNTA($G$9:$G$12,$G$15)&gt;0,AH13/5,AH13/2)</f>
        <v>6.25</v>
      </c>
      <c r="AH13" s="66">
        <f t="shared" si="20"/>
        <v>12.5</v>
      </c>
      <c r="AI13" s="66">
        <f>IF(COUNTA($G$9:$G$12,$G$15)&gt;0,AJ13/5,AJ13/2)</f>
        <v>18.75</v>
      </c>
      <c r="AJ13" s="66">
        <f t="shared" si="22"/>
        <v>37.5</v>
      </c>
      <c r="AK13" s="66" t="str">
        <f t="shared" si="5"/>
        <v/>
      </c>
      <c r="AL13" s="66" t="str">
        <f t="shared" si="6"/>
        <v>-</v>
      </c>
      <c r="AM13" s="66" t="str">
        <f t="shared" si="7"/>
        <v>-</v>
      </c>
      <c r="AN13" s="66" t="str">
        <f t="shared" si="23"/>
        <v>-</v>
      </c>
      <c r="AO13" s="74" t="str">
        <f t="shared" si="24"/>
        <v>-</v>
      </c>
      <c r="AP13" s="75" t="str">
        <f t="shared" si="25"/>
        <v/>
      </c>
      <c r="AQ13" s="34"/>
      <c r="AR13" s="34"/>
    </row>
    <row r="14" spans="1:44" s="37" customFormat="1" ht="24.95" customHeight="1" x14ac:dyDescent="0.3">
      <c r="A14" s="155"/>
      <c r="B14" s="66" t="s">
        <v>95</v>
      </c>
      <c r="C14" s="66">
        <f>IF(COUNTA($G$9:$G$12,$G$15)&gt;0,D14/5,D14/2)</f>
        <v>1</v>
      </c>
      <c r="D14" s="66">
        <v>2</v>
      </c>
      <c r="E14" s="66">
        <f>IF(COUNTA($G$9:$G$12,$G$15)&gt;0,F14/5,F14/2)</f>
        <v>3</v>
      </c>
      <c r="F14" s="66">
        <v>6</v>
      </c>
      <c r="G14" s="68"/>
      <c r="H14" s="66" t="str">
        <f t="shared" si="26"/>
        <v>-</v>
      </c>
      <c r="I14" s="66" t="str">
        <f t="shared" si="0"/>
        <v>-</v>
      </c>
      <c r="J14" s="66" t="str">
        <f t="shared" si="1"/>
        <v>-</v>
      </c>
      <c r="K14" s="74" t="str">
        <f t="shared" si="10"/>
        <v>-</v>
      </c>
      <c r="L14" s="75" t="str">
        <f t="shared" si="11"/>
        <v/>
      </c>
      <c r="M14" s="34"/>
      <c r="N14" s="38"/>
      <c r="P14" s="155"/>
      <c r="Q14" s="66" t="s">
        <v>95</v>
      </c>
      <c r="R14" s="66">
        <f>IF(COUNTA($G$9:$G$12,$G$15)&gt;0,S14/5,S14/2)</f>
        <v>0.66666666666666663</v>
      </c>
      <c r="S14" s="66">
        <f t="shared" si="13"/>
        <v>1.3333333333333333</v>
      </c>
      <c r="T14" s="66">
        <f>IF(COUNTA($G$9:$G$12,$G$15)&gt;0,U14/5,U14/2)</f>
        <v>2</v>
      </c>
      <c r="U14" s="66">
        <f t="shared" si="15"/>
        <v>4</v>
      </c>
      <c r="V14" s="66" t="str">
        <f t="shared" si="2"/>
        <v/>
      </c>
      <c r="W14" s="66" t="str">
        <f t="shared" si="3"/>
        <v>-</v>
      </c>
      <c r="X14" s="66" t="str">
        <f t="shared" si="4"/>
        <v>-</v>
      </c>
      <c r="Y14" s="66" t="str">
        <f t="shared" si="16"/>
        <v>-</v>
      </c>
      <c r="Z14" s="74" t="str">
        <f t="shared" si="17"/>
        <v>-</v>
      </c>
      <c r="AA14" s="75" t="str">
        <f t="shared" si="18"/>
        <v/>
      </c>
      <c r="AB14" s="34"/>
      <c r="AC14" s="38"/>
      <c r="AE14" s="155"/>
      <c r="AF14" s="66" t="s">
        <v>95</v>
      </c>
      <c r="AG14" s="66">
        <f>IF(COUNTA($G$9:$G$12,$G$15)&gt;0,AH14/5,AH14/2)</f>
        <v>0.5</v>
      </c>
      <c r="AH14" s="66">
        <f t="shared" si="20"/>
        <v>1</v>
      </c>
      <c r="AI14" s="66">
        <f>IF(COUNTA($G$9:$G$12,$G$15)&gt;0,AJ14/5,AJ14/2)</f>
        <v>1.5</v>
      </c>
      <c r="AJ14" s="66">
        <f t="shared" si="22"/>
        <v>3</v>
      </c>
      <c r="AK14" s="66" t="str">
        <f t="shared" si="5"/>
        <v/>
      </c>
      <c r="AL14" s="66" t="str">
        <f t="shared" si="6"/>
        <v>-</v>
      </c>
      <c r="AM14" s="66" t="str">
        <f t="shared" si="7"/>
        <v>-</v>
      </c>
      <c r="AN14" s="66" t="str">
        <f t="shared" si="23"/>
        <v>-</v>
      </c>
      <c r="AO14" s="74" t="str">
        <f t="shared" si="24"/>
        <v>-</v>
      </c>
      <c r="AP14" s="75" t="str">
        <f t="shared" si="25"/>
        <v/>
      </c>
      <c r="AQ14" s="34"/>
      <c r="AR14" s="34"/>
    </row>
    <row r="15" spans="1:44" s="37" customFormat="1" ht="24.95" customHeight="1" x14ac:dyDescent="0.3">
      <c r="A15" s="66">
        <v>3</v>
      </c>
      <c r="B15" s="66" t="s">
        <v>83</v>
      </c>
      <c r="C15" s="66">
        <f t="shared" si="8"/>
        <v>10</v>
      </c>
      <c r="D15" s="66">
        <v>20</v>
      </c>
      <c r="E15" s="66">
        <f t="shared" si="9"/>
        <v>30</v>
      </c>
      <c r="F15" s="66">
        <v>60</v>
      </c>
      <c r="G15" s="68"/>
      <c r="H15" s="66" t="str">
        <f t="shared" si="26"/>
        <v>-</v>
      </c>
      <c r="I15" s="66" t="str">
        <f t="shared" si="0"/>
        <v>-</v>
      </c>
      <c r="J15" s="66" t="str">
        <f t="shared" si="1"/>
        <v>-</v>
      </c>
      <c r="K15" s="74" t="str">
        <f t="shared" si="10"/>
        <v>-</v>
      </c>
      <c r="L15" s="75" t="str">
        <f t="shared" si="11"/>
        <v/>
      </c>
      <c r="M15" s="34"/>
      <c r="N15" s="38"/>
      <c r="P15" s="66">
        <v>3</v>
      </c>
      <c r="Q15" s="66" t="s">
        <v>15</v>
      </c>
      <c r="R15" s="66">
        <f t="shared" si="12"/>
        <v>6.6666666666666661</v>
      </c>
      <c r="S15" s="66">
        <f t="shared" si="13"/>
        <v>13.333333333333332</v>
      </c>
      <c r="T15" s="66">
        <f t="shared" si="14"/>
        <v>20</v>
      </c>
      <c r="U15" s="66">
        <f t="shared" si="15"/>
        <v>40</v>
      </c>
      <c r="V15" s="66" t="str">
        <f t="shared" si="2"/>
        <v/>
      </c>
      <c r="W15" s="66" t="str">
        <f t="shared" si="3"/>
        <v>-</v>
      </c>
      <c r="X15" s="66" t="str">
        <f t="shared" si="4"/>
        <v>-</v>
      </c>
      <c r="Y15" s="66" t="str">
        <f t="shared" si="16"/>
        <v>-</v>
      </c>
      <c r="Z15" s="74" t="str">
        <f t="shared" si="17"/>
        <v>-</v>
      </c>
      <c r="AA15" s="75" t="str">
        <f t="shared" si="18"/>
        <v/>
      </c>
      <c r="AB15" s="34"/>
      <c r="AC15" s="38"/>
      <c r="AE15" s="66">
        <v>3</v>
      </c>
      <c r="AF15" s="66" t="s">
        <v>15</v>
      </c>
      <c r="AG15" s="66">
        <f t="shared" si="19"/>
        <v>5</v>
      </c>
      <c r="AH15" s="66">
        <f t="shared" si="20"/>
        <v>10</v>
      </c>
      <c r="AI15" s="66">
        <f t="shared" si="21"/>
        <v>15</v>
      </c>
      <c r="AJ15" s="66">
        <f t="shared" si="22"/>
        <v>30</v>
      </c>
      <c r="AK15" s="66" t="str">
        <f t="shared" si="5"/>
        <v/>
      </c>
      <c r="AL15" s="66" t="str">
        <f t="shared" si="6"/>
        <v>-</v>
      </c>
      <c r="AM15" s="66" t="str">
        <f t="shared" si="7"/>
        <v>-</v>
      </c>
      <c r="AN15" s="66" t="str">
        <f t="shared" si="23"/>
        <v>-</v>
      </c>
      <c r="AO15" s="74" t="str">
        <f t="shared" si="24"/>
        <v>-</v>
      </c>
      <c r="AP15" s="75" t="str">
        <f t="shared" si="25"/>
        <v/>
      </c>
      <c r="AQ15" s="34"/>
      <c r="AR15" s="34"/>
    </row>
    <row r="16" spans="1:44" s="37" customFormat="1" ht="24.95" customHeight="1" x14ac:dyDescent="0.3">
      <c r="A16" s="208">
        <v>5</v>
      </c>
      <c r="B16" s="66" t="s">
        <v>96</v>
      </c>
      <c r="C16" s="66">
        <f t="shared" si="8"/>
        <v>45</v>
      </c>
      <c r="D16" s="66">
        <v>90</v>
      </c>
      <c r="E16" s="66">
        <f t="shared" si="9"/>
        <v>135</v>
      </c>
      <c r="F16" s="66">
        <v>270</v>
      </c>
      <c r="G16" s="68"/>
      <c r="H16" s="66" t="str">
        <f t="shared" si="26"/>
        <v>-</v>
      </c>
      <c r="I16" s="66" t="str">
        <f t="shared" si="0"/>
        <v>-</v>
      </c>
      <c r="J16" s="66" t="str">
        <f t="shared" si="1"/>
        <v>-</v>
      </c>
      <c r="K16" s="74" t="str">
        <f t="shared" si="10"/>
        <v>-</v>
      </c>
      <c r="L16" s="75" t="str">
        <f t="shared" si="11"/>
        <v/>
      </c>
      <c r="M16" s="34"/>
      <c r="N16" s="38"/>
      <c r="P16" s="208">
        <v>5</v>
      </c>
      <c r="Q16" s="66" t="s">
        <v>96</v>
      </c>
      <c r="R16" s="66">
        <f t="shared" si="12"/>
        <v>30</v>
      </c>
      <c r="S16" s="66">
        <f t="shared" si="13"/>
        <v>60</v>
      </c>
      <c r="T16" s="66">
        <f t="shared" si="14"/>
        <v>90</v>
      </c>
      <c r="U16" s="66">
        <f t="shared" si="15"/>
        <v>180</v>
      </c>
      <c r="V16" s="66" t="str">
        <f t="shared" si="2"/>
        <v/>
      </c>
      <c r="W16" s="66" t="str">
        <f t="shared" si="3"/>
        <v>-</v>
      </c>
      <c r="X16" s="66" t="str">
        <f t="shared" si="4"/>
        <v>-</v>
      </c>
      <c r="Y16" s="66" t="str">
        <f t="shared" si="16"/>
        <v>-</v>
      </c>
      <c r="Z16" s="74" t="str">
        <f t="shared" si="17"/>
        <v>-</v>
      </c>
      <c r="AA16" s="75" t="str">
        <f t="shared" si="18"/>
        <v/>
      </c>
      <c r="AB16" s="34"/>
      <c r="AC16" s="38"/>
      <c r="AE16" s="208">
        <v>5</v>
      </c>
      <c r="AF16" s="66" t="s">
        <v>96</v>
      </c>
      <c r="AG16" s="66">
        <f t="shared" si="19"/>
        <v>22.5</v>
      </c>
      <c r="AH16" s="66">
        <f t="shared" si="20"/>
        <v>45</v>
      </c>
      <c r="AI16" s="66">
        <f t="shared" si="21"/>
        <v>67.5</v>
      </c>
      <c r="AJ16" s="66">
        <f t="shared" si="22"/>
        <v>135</v>
      </c>
      <c r="AK16" s="66" t="str">
        <f t="shared" si="5"/>
        <v/>
      </c>
      <c r="AL16" s="66" t="str">
        <f t="shared" si="6"/>
        <v>-</v>
      </c>
      <c r="AM16" s="66" t="str">
        <f t="shared" si="7"/>
        <v>-</v>
      </c>
      <c r="AN16" s="66" t="str">
        <f t="shared" si="23"/>
        <v>-</v>
      </c>
      <c r="AO16" s="74" t="str">
        <f t="shared" si="24"/>
        <v>-</v>
      </c>
      <c r="AP16" s="75" t="str">
        <f t="shared" si="25"/>
        <v/>
      </c>
      <c r="AQ16" s="34"/>
      <c r="AR16" s="34"/>
    </row>
    <row r="17" spans="1:44" s="37" customFormat="1" ht="24.95" customHeight="1" x14ac:dyDescent="0.3">
      <c r="A17" s="209"/>
      <c r="B17" s="66" t="s">
        <v>97</v>
      </c>
      <c r="C17" s="66">
        <f t="shared" si="8"/>
        <v>50</v>
      </c>
      <c r="D17" s="66">
        <v>100</v>
      </c>
      <c r="E17" s="66">
        <f t="shared" si="9"/>
        <v>150</v>
      </c>
      <c r="F17" s="66">
        <v>300</v>
      </c>
      <c r="G17" s="68"/>
      <c r="H17" s="66" t="str">
        <f t="shared" si="26"/>
        <v>-</v>
      </c>
      <c r="I17" s="66" t="str">
        <f t="shared" si="0"/>
        <v>-</v>
      </c>
      <c r="J17" s="66" t="str">
        <f>IF(G17&lt;&gt;"",$H17*$D$3,"-")</f>
        <v>-</v>
      </c>
      <c r="K17" s="74" t="str">
        <f t="shared" si="10"/>
        <v>-</v>
      </c>
      <c r="L17" s="75" t="str">
        <f t="shared" si="11"/>
        <v/>
      </c>
      <c r="M17" s="34"/>
      <c r="N17" s="38"/>
      <c r="P17" s="209"/>
      <c r="Q17" s="66" t="s">
        <v>17</v>
      </c>
      <c r="R17" s="66">
        <f t="shared" si="12"/>
        <v>33.333333333333329</v>
      </c>
      <c r="S17" s="66">
        <f t="shared" si="13"/>
        <v>66.666666666666657</v>
      </c>
      <c r="T17" s="66">
        <f t="shared" si="14"/>
        <v>100</v>
      </c>
      <c r="U17" s="66">
        <f t="shared" si="15"/>
        <v>200</v>
      </c>
      <c r="V17" s="66" t="str">
        <f t="shared" si="2"/>
        <v/>
      </c>
      <c r="W17" s="66" t="str">
        <f t="shared" si="3"/>
        <v>-</v>
      </c>
      <c r="X17" s="66" t="str">
        <f t="shared" si="4"/>
        <v>-</v>
      </c>
      <c r="Y17" s="66" t="str">
        <f t="shared" si="16"/>
        <v>-</v>
      </c>
      <c r="Z17" s="74" t="str">
        <f t="shared" si="17"/>
        <v>-</v>
      </c>
      <c r="AA17" s="75" t="str">
        <f t="shared" si="18"/>
        <v/>
      </c>
      <c r="AB17" s="34"/>
      <c r="AC17" s="38"/>
      <c r="AE17" s="209"/>
      <c r="AF17" s="66" t="s">
        <v>17</v>
      </c>
      <c r="AG17" s="66">
        <f t="shared" si="19"/>
        <v>25</v>
      </c>
      <c r="AH17" s="66">
        <f t="shared" si="20"/>
        <v>50</v>
      </c>
      <c r="AI17" s="66">
        <f t="shared" si="21"/>
        <v>75</v>
      </c>
      <c r="AJ17" s="66">
        <f t="shared" si="22"/>
        <v>150</v>
      </c>
      <c r="AK17" s="66" t="str">
        <f t="shared" si="5"/>
        <v/>
      </c>
      <c r="AL17" s="66" t="str">
        <f t="shared" si="6"/>
        <v>-</v>
      </c>
      <c r="AM17" s="66" t="str">
        <f t="shared" si="7"/>
        <v>-</v>
      </c>
      <c r="AN17" s="66" t="str">
        <f t="shared" si="23"/>
        <v>-</v>
      </c>
      <c r="AO17" s="74" t="str">
        <f t="shared" si="24"/>
        <v>-</v>
      </c>
      <c r="AP17" s="75" t="str">
        <f t="shared" si="25"/>
        <v/>
      </c>
      <c r="AQ17" s="34"/>
      <c r="AR17" s="34"/>
    </row>
    <row r="18" spans="1:44" s="37" customFormat="1" ht="24.95" customHeight="1" x14ac:dyDescent="0.3">
      <c r="A18" s="210"/>
      <c r="B18" s="66" t="s">
        <v>135</v>
      </c>
      <c r="C18" s="66" t="s">
        <v>136</v>
      </c>
      <c r="D18" s="66" t="s">
        <v>136</v>
      </c>
      <c r="E18" s="66">
        <f t="shared" ref="E18" si="27">F18/2</f>
        <v>45</v>
      </c>
      <c r="F18" s="66">
        <v>90</v>
      </c>
      <c r="G18" s="68"/>
      <c r="H18" s="66" t="str">
        <f t="shared" ref="H18" si="28">IF(G18&lt;&gt;"",$G18*$D$4,"-")</f>
        <v>-</v>
      </c>
      <c r="I18" s="66" t="str">
        <f t="shared" ref="I18" si="29">IF(G18&lt;&gt;"",$G18*$F$4,"-")</f>
        <v>-</v>
      </c>
      <c r="J18" s="66" t="str">
        <f t="shared" ref="J18" si="30">IF(G18&lt;&gt;"",$H18*$D$3,"-")</f>
        <v>-</v>
      </c>
      <c r="K18" s="74" t="str">
        <f>IF(G18&lt;&gt;"",$I18*$F$3,"-")</f>
        <v>-</v>
      </c>
      <c r="L18" s="75" t="str">
        <f>IF(G18="","",IF(AND(F18&gt;=K18,E18&lt;=J18),"O","X"))</f>
        <v/>
      </c>
      <c r="M18" s="34"/>
      <c r="N18" s="38"/>
      <c r="P18" s="210"/>
      <c r="Q18" s="66" t="s">
        <v>135</v>
      </c>
      <c r="R18" s="66" t="s">
        <v>136</v>
      </c>
      <c r="S18" s="66" t="s">
        <v>136</v>
      </c>
      <c r="T18" s="66">
        <f t="shared" ref="T18" si="31">U18/2</f>
        <v>30</v>
      </c>
      <c r="U18" s="66">
        <f t="shared" ref="U18" si="32">F18*$R$6</f>
        <v>60</v>
      </c>
      <c r="V18" s="66"/>
      <c r="W18" s="66" t="str">
        <f t="shared" ref="W18" si="33">IF(V18&lt;&gt;"",$G18*$S$4,"-")</f>
        <v>-</v>
      </c>
      <c r="X18" s="66" t="str">
        <f t="shared" ref="X18" si="34">IF(V18&lt;&gt;"",$G18*$U$4,"-")</f>
        <v>-</v>
      </c>
      <c r="Y18" s="66" t="str">
        <f t="shared" ref="Y18" si="35">IF(V18&lt;&gt;"",$W18*$S$3,"-")</f>
        <v>-</v>
      </c>
      <c r="Z18" s="74" t="str">
        <f t="shared" si="17"/>
        <v>-</v>
      </c>
      <c r="AA18" s="75" t="str">
        <f>IF(V18="","",IF(AND(U18&gt;=Z18,T18&lt;=Y18),"O","X"))</f>
        <v/>
      </c>
      <c r="AB18" s="34"/>
      <c r="AC18" s="38"/>
      <c r="AE18" s="210"/>
      <c r="AF18" s="66" t="s">
        <v>135</v>
      </c>
      <c r="AG18" s="66" t="s">
        <v>136</v>
      </c>
      <c r="AH18" s="66" t="s">
        <v>136</v>
      </c>
      <c r="AI18" s="66">
        <f t="shared" ref="AI18" si="36">AJ18/2</f>
        <v>22.5</v>
      </c>
      <c r="AJ18" s="66">
        <f t="shared" ref="AJ18" si="37">F18*$AG$6</f>
        <v>45</v>
      </c>
      <c r="AK18" s="66"/>
      <c r="AL18" s="66" t="str">
        <f t="shared" ref="AL18" si="38">IF(AK18&lt;&gt;"",$G18*$AH$4,"-")</f>
        <v>-</v>
      </c>
      <c r="AM18" s="66" t="str">
        <f t="shared" ref="AM18" si="39">IF(AK18&lt;&gt;"",$G18*$AJ$4,"-")</f>
        <v>-</v>
      </c>
      <c r="AN18" s="66" t="str">
        <f t="shared" ref="AN18" si="40">IF(AK18&lt;&gt;"",$AM18*$AH$3,"-")</f>
        <v>-</v>
      </c>
      <c r="AO18" s="74" t="str">
        <f t="shared" si="24"/>
        <v>-</v>
      </c>
      <c r="AP18" s="75" t="str">
        <f>IF(AK18="","",IF(AND(AJ18&gt;=AO18,AI18&lt;=AN18),"O","X"))</f>
        <v/>
      </c>
      <c r="AQ18" s="34"/>
      <c r="AR18" s="34"/>
    </row>
    <row r="19" spans="1:44" s="37" customFormat="1" ht="24.95" customHeight="1" x14ac:dyDescent="0.3">
      <c r="A19" s="179">
        <v>7</v>
      </c>
      <c r="B19" s="66" t="s">
        <v>98</v>
      </c>
      <c r="C19" s="66">
        <f t="shared" si="8"/>
        <v>1</v>
      </c>
      <c r="D19" s="66">
        <v>2</v>
      </c>
      <c r="E19" s="66">
        <f t="shared" si="9"/>
        <v>3</v>
      </c>
      <c r="F19" s="66">
        <v>6</v>
      </c>
      <c r="G19" s="68"/>
      <c r="H19" s="66" t="str">
        <f t="shared" si="26"/>
        <v>-</v>
      </c>
      <c r="I19" s="66" t="str">
        <f t="shared" si="0"/>
        <v>-</v>
      </c>
      <c r="J19" s="66" t="str">
        <f t="shared" si="1"/>
        <v>-</v>
      </c>
      <c r="K19" s="74" t="str">
        <f t="shared" si="10"/>
        <v>-</v>
      </c>
      <c r="L19" s="75" t="str">
        <f t="shared" si="11"/>
        <v/>
      </c>
      <c r="M19" s="34"/>
      <c r="N19" s="38"/>
      <c r="P19" s="179">
        <v>7</v>
      </c>
      <c r="Q19" s="66" t="s">
        <v>2</v>
      </c>
      <c r="R19" s="66">
        <f t="shared" si="12"/>
        <v>0.66666666666666663</v>
      </c>
      <c r="S19" s="66">
        <f t="shared" si="13"/>
        <v>1.3333333333333333</v>
      </c>
      <c r="T19" s="66">
        <f t="shared" si="14"/>
        <v>2</v>
      </c>
      <c r="U19" s="66">
        <f t="shared" si="15"/>
        <v>4</v>
      </c>
      <c r="V19" s="66" t="str">
        <f t="shared" si="2"/>
        <v/>
      </c>
      <c r="W19" s="66" t="str">
        <f t="shared" si="3"/>
        <v>-</v>
      </c>
      <c r="X19" s="66" t="str">
        <f t="shared" si="4"/>
        <v>-</v>
      </c>
      <c r="Y19" s="66" t="str">
        <f t="shared" si="16"/>
        <v>-</v>
      </c>
      <c r="Z19" s="74" t="str">
        <f t="shared" si="17"/>
        <v>-</v>
      </c>
      <c r="AA19" s="75" t="str">
        <f t="shared" si="18"/>
        <v/>
      </c>
      <c r="AB19" s="34"/>
      <c r="AC19" s="38"/>
      <c r="AE19" s="179">
        <v>7</v>
      </c>
      <c r="AF19" s="66" t="s">
        <v>2</v>
      </c>
      <c r="AG19" s="66">
        <f t="shared" si="19"/>
        <v>0.5</v>
      </c>
      <c r="AH19" s="66">
        <f t="shared" si="20"/>
        <v>1</v>
      </c>
      <c r="AI19" s="66">
        <f t="shared" si="21"/>
        <v>1.5</v>
      </c>
      <c r="AJ19" s="66">
        <f t="shared" si="22"/>
        <v>3</v>
      </c>
      <c r="AK19" s="66" t="str">
        <f t="shared" si="5"/>
        <v/>
      </c>
      <c r="AL19" s="66" t="str">
        <f t="shared" si="6"/>
        <v>-</v>
      </c>
      <c r="AM19" s="66" t="str">
        <f t="shared" si="7"/>
        <v>-</v>
      </c>
      <c r="AN19" s="66" t="str">
        <f t="shared" si="23"/>
        <v>-</v>
      </c>
      <c r="AO19" s="74" t="str">
        <f t="shared" si="24"/>
        <v>-</v>
      </c>
      <c r="AP19" s="75" t="str">
        <f t="shared" si="25"/>
        <v/>
      </c>
      <c r="AQ19" s="34"/>
      <c r="AR19" s="34"/>
    </row>
    <row r="20" spans="1:44" s="37" customFormat="1" ht="24.95" customHeight="1" x14ac:dyDescent="0.3">
      <c r="A20" s="179"/>
      <c r="B20" s="66" t="s">
        <v>99</v>
      </c>
      <c r="C20" s="66">
        <f t="shared" si="8"/>
        <v>2</v>
      </c>
      <c r="D20" s="66">
        <v>4</v>
      </c>
      <c r="E20" s="66">
        <f t="shared" si="9"/>
        <v>6</v>
      </c>
      <c r="F20" s="66">
        <v>12</v>
      </c>
      <c r="G20" s="68"/>
      <c r="H20" s="66" t="str">
        <f t="shared" si="26"/>
        <v>-</v>
      </c>
      <c r="I20" s="66" t="str">
        <f t="shared" si="0"/>
        <v>-</v>
      </c>
      <c r="J20" s="66" t="str">
        <f t="shared" si="1"/>
        <v>-</v>
      </c>
      <c r="K20" s="74" t="str">
        <f t="shared" si="10"/>
        <v>-</v>
      </c>
      <c r="L20" s="75" t="str">
        <f t="shared" si="11"/>
        <v/>
      </c>
      <c r="M20" s="34"/>
      <c r="N20" s="38"/>
      <c r="P20" s="179"/>
      <c r="Q20" s="66" t="s">
        <v>3</v>
      </c>
      <c r="R20" s="66">
        <f t="shared" si="12"/>
        <v>1.3333333333333333</v>
      </c>
      <c r="S20" s="66">
        <f t="shared" si="13"/>
        <v>2.6666666666666665</v>
      </c>
      <c r="T20" s="66">
        <f t="shared" si="14"/>
        <v>4</v>
      </c>
      <c r="U20" s="66">
        <f t="shared" si="15"/>
        <v>8</v>
      </c>
      <c r="V20" s="66" t="str">
        <f t="shared" si="2"/>
        <v/>
      </c>
      <c r="W20" s="66" t="str">
        <f t="shared" si="3"/>
        <v>-</v>
      </c>
      <c r="X20" s="66" t="str">
        <f t="shared" si="4"/>
        <v>-</v>
      </c>
      <c r="Y20" s="66" t="str">
        <f t="shared" si="16"/>
        <v>-</v>
      </c>
      <c r="Z20" s="74" t="str">
        <f t="shared" si="17"/>
        <v>-</v>
      </c>
      <c r="AA20" s="75" t="str">
        <f t="shared" si="18"/>
        <v/>
      </c>
      <c r="AB20" s="34"/>
      <c r="AC20" s="38"/>
      <c r="AE20" s="179"/>
      <c r="AF20" s="66" t="s">
        <v>3</v>
      </c>
      <c r="AG20" s="66">
        <f t="shared" si="19"/>
        <v>1</v>
      </c>
      <c r="AH20" s="66">
        <f t="shared" si="20"/>
        <v>2</v>
      </c>
      <c r="AI20" s="66">
        <f t="shared" si="21"/>
        <v>3</v>
      </c>
      <c r="AJ20" s="66">
        <f t="shared" si="22"/>
        <v>6</v>
      </c>
      <c r="AK20" s="66" t="str">
        <f t="shared" si="5"/>
        <v/>
      </c>
      <c r="AL20" s="66" t="str">
        <f t="shared" si="6"/>
        <v>-</v>
      </c>
      <c r="AM20" s="66" t="str">
        <f t="shared" si="7"/>
        <v>-</v>
      </c>
      <c r="AN20" s="66" t="str">
        <f t="shared" si="23"/>
        <v>-</v>
      </c>
      <c r="AO20" s="74" t="str">
        <f t="shared" si="24"/>
        <v>-</v>
      </c>
      <c r="AP20" s="75" t="str">
        <f t="shared" si="25"/>
        <v/>
      </c>
      <c r="AQ20" s="34"/>
      <c r="AR20" s="34"/>
    </row>
    <row r="21" spans="1:44" s="37" customFormat="1" ht="24.95" customHeight="1" x14ac:dyDescent="0.3">
      <c r="A21" s="179"/>
      <c r="B21" s="66" t="s">
        <v>100</v>
      </c>
      <c r="C21" s="66">
        <f t="shared" si="8"/>
        <v>2</v>
      </c>
      <c r="D21" s="66">
        <v>4</v>
      </c>
      <c r="E21" s="66">
        <f t="shared" si="9"/>
        <v>6</v>
      </c>
      <c r="F21" s="66">
        <v>12</v>
      </c>
      <c r="G21" s="68"/>
      <c r="H21" s="66" t="str">
        <f t="shared" si="26"/>
        <v>-</v>
      </c>
      <c r="I21" s="66" t="str">
        <f t="shared" si="0"/>
        <v>-</v>
      </c>
      <c r="J21" s="66" t="str">
        <f t="shared" si="1"/>
        <v>-</v>
      </c>
      <c r="K21" s="74" t="str">
        <f t="shared" si="10"/>
        <v>-</v>
      </c>
      <c r="L21" s="75" t="str">
        <f t="shared" si="11"/>
        <v/>
      </c>
      <c r="M21" s="34"/>
      <c r="N21" s="38"/>
      <c r="P21" s="179"/>
      <c r="Q21" s="66" t="s">
        <v>4</v>
      </c>
      <c r="R21" s="66">
        <f t="shared" si="12"/>
        <v>1.3333333333333333</v>
      </c>
      <c r="S21" s="66">
        <f t="shared" si="13"/>
        <v>2.6666666666666665</v>
      </c>
      <c r="T21" s="66">
        <f t="shared" si="14"/>
        <v>4</v>
      </c>
      <c r="U21" s="66">
        <f t="shared" si="15"/>
        <v>8</v>
      </c>
      <c r="V21" s="66" t="str">
        <f t="shared" si="2"/>
        <v/>
      </c>
      <c r="W21" s="66" t="str">
        <f t="shared" si="3"/>
        <v>-</v>
      </c>
      <c r="X21" s="66" t="str">
        <f t="shared" si="4"/>
        <v>-</v>
      </c>
      <c r="Y21" s="66" t="str">
        <f t="shared" si="16"/>
        <v>-</v>
      </c>
      <c r="Z21" s="74" t="str">
        <f t="shared" si="17"/>
        <v>-</v>
      </c>
      <c r="AA21" s="75" t="str">
        <f t="shared" si="18"/>
        <v/>
      </c>
      <c r="AB21" s="34"/>
      <c r="AC21" s="38"/>
      <c r="AE21" s="179"/>
      <c r="AF21" s="66" t="s">
        <v>4</v>
      </c>
      <c r="AG21" s="66">
        <f t="shared" si="19"/>
        <v>1</v>
      </c>
      <c r="AH21" s="66">
        <f t="shared" si="20"/>
        <v>2</v>
      </c>
      <c r="AI21" s="66">
        <f t="shared" si="21"/>
        <v>3</v>
      </c>
      <c r="AJ21" s="66">
        <f t="shared" si="22"/>
        <v>6</v>
      </c>
      <c r="AK21" s="66" t="str">
        <f t="shared" si="5"/>
        <v/>
      </c>
      <c r="AL21" s="66" t="str">
        <f t="shared" si="6"/>
        <v>-</v>
      </c>
      <c r="AM21" s="66" t="str">
        <f t="shared" si="7"/>
        <v>-</v>
      </c>
      <c r="AN21" s="66" t="str">
        <f t="shared" si="23"/>
        <v>-</v>
      </c>
      <c r="AO21" s="74" t="str">
        <f t="shared" si="24"/>
        <v>-</v>
      </c>
      <c r="AP21" s="75" t="str">
        <f t="shared" si="25"/>
        <v/>
      </c>
      <c r="AQ21" s="34"/>
      <c r="AR21" s="34"/>
    </row>
    <row r="22" spans="1:44" s="37" customFormat="1" ht="24.95" customHeight="1" x14ac:dyDescent="0.3">
      <c r="A22" s="179"/>
      <c r="B22" s="66" t="s">
        <v>101</v>
      </c>
      <c r="C22" s="66">
        <f t="shared" si="8"/>
        <v>1</v>
      </c>
      <c r="D22" s="66">
        <v>2</v>
      </c>
      <c r="E22" s="66">
        <f t="shared" si="9"/>
        <v>3</v>
      </c>
      <c r="F22" s="66">
        <v>6</v>
      </c>
      <c r="G22" s="68"/>
      <c r="H22" s="66" t="str">
        <f t="shared" si="26"/>
        <v>-</v>
      </c>
      <c r="I22" s="66" t="str">
        <f t="shared" si="0"/>
        <v>-</v>
      </c>
      <c r="J22" s="66" t="str">
        <f t="shared" si="1"/>
        <v>-</v>
      </c>
      <c r="K22" s="74" t="str">
        <f t="shared" si="10"/>
        <v>-</v>
      </c>
      <c r="L22" s="75" t="str">
        <f t="shared" si="11"/>
        <v/>
      </c>
      <c r="M22" s="34"/>
      <c r="N22" s="38"/>
      <c r="P22" s="179"/>
      <c r="Q22" s="66" t="s">
        <v>5</v>
      </c>
      <c r="R22" s="66">
        <f t="shared" si="12"/>
        <v>0.66666666666666663</v>
      </c>
      <c r="S22" s="66">
        <f t="shared" si="13"/>
        <v>1.3333333333333333</v>
      </c>
      <c r="T22" s="66">
        <f t="shared" si="14"/>
        <v>2</v>
      </c>
      <c r="U22" s="66">
        <f t="shared" si="15"/>
        <v>4</v>
      </c>
      <c r="V22" s="66" t="str">
        <f t="shared" si="2"/>
        <v/>
      </c>
      <c r="W22" s="66" t="str">
        <f t="shared" si="3"/>
        <v>-</v>
      </c>
      <c r="X22" s="66" t="str">
        <f t="shared" si="4"/>
        <v>-</v>
      </c>
      <c r="Y22" s="66" t="str">
        <f t="shared" si="16"/>
        <v>-</v>
      </c>
      <c r="Z22" s="74" t="str">
        <f t="shared" si="17"/>
        <v>-</v>
      </c>
      <c r="AA22" s="75" t="str">
        <f t="shared" si="18"/>
        <v/>
      </c>
      <c r="AB22" s="34"/>
      <c r="AC22" s="38"/>
      <c r="AE22" s="179"/>
      <c r="AF22" s="66" t="s">
        <v>5</v>
      </c>
      <c r="AG22" s="66">
        <f t="shared" si="19"/>
        <v>0.5</v>
      </c>
      <c r="AH22" s="66">
        <f t="shared" si="20"/>
        <v>1</v>
      </c>
      <c r="AI22" s="66">
        <f t="shared" si="21"/>
        <v>1.5</v>
      </c>
      <c r="AJ22" s="66">
        <f t="shared" si="22"/>
        <v>3</v>
      </c>
      <c r="AK22" s="66" t="str">
        <f t="shared" si="5"/>
        <v/>
      </c>
      <c r="AL22" s="66" t="str">
        <f t="shared" si="6"/>
        <v>-</v>
      </c>
      <c r="AM22" s="66" t="str">
        <f t="shared" si="7"/>
        <v>-</v>
      </c>
      <c r="AN22" s="66" t="str">
        <f t="shared" si="23"/>
        <v>-</v>
      </c>
      <c r="AO22" s="74" t="str">
        <f t="shared" si="24"/>
        <v>-</v>
      </c>
      <c r="AP22" s="75" t="str">
        <f t="shared" si="25"/>
        <v/>
      </c>
      <c r="AQ22" s="34"/>
      <c r="AR22" s="34"/>
    </row>
    <row r="23" spans="1:44" s="37" customFormat="1" ht="24.95" customHeight="1" x14ac:dyDescent="0.3">
      <c r="A23" s="179"/>
      <c r="B23" s="66" t="s">
        <v>72</v>
      </c>
      <c r="C23" s="66">
        <f t="shared" si="8"/>
        <v>15</v>
      </c>
      <c r="D23" s="66">
        <v>30</v>
      </c>
      <c r="E23" s="66">
        <f t="shared" si="9"/>
        <v>45</v>
      </c>
      <c r="F23" s="66">
        <v>90</v>
      </c>
      <c r="G23" s="68"/>
      <c r="H23" s="66" t="str">
        <f t="shared" si="26"/>
        <v>-</v>
      </c>
      <c r="I23" s="66" t="str">
        <f t="shared" si="0"/>
        <v>-</v>
      </c>
      <c r="J23" s="66" t="str">
        <f t="shared" si="1"/>
        <v>-</v>
      </c>
      <c r="K23" s="74" t="str">
        <f t="shared" si="10"/>
        <v>-</v>
      </c>
      <c r="L23" s="75" t="str">
        <f t="shared" si="11"/>
        <v/>
      </c>
      <c r="M23" s="34"/>
      <c r="N23" s="38"/>
      <c r="P23" s="179"/>
      <c r="Q23" s="66" t="s">
        <v>72</v>
      </c>
      <c r="R23" s="66">
        <f t="shared" si="12"/>
        <v>10</v>
      </c>
      <c r="S23" s="66">
        <f t="shared" si="13"/>
        <v>20</v>
      </c>
      <c r="T23" s="66">
        <f t="shared" si="14"/>
        <v>30</v>
      </c>
      <c r="U23" s="66">
        <f t="shared" si="15"/>
        <v>60</v>
      </c>
      <c r="V23" s="66" t="str">
        <f t="shared" si="2"/>
        <v/>
      </c>
      <c r="W23" s="66" t="str">
        <f t="shared" si="3"/>
        <v>-</v>
      </c>
      <c r="X23" s="66" t="str">
        <f t="shared" si="4"/>
        <v>-</v>
      </c>
      <c r="Y23" s="66" t="str">
        <f t="shared" si="16"/>
        <v>-</v>
      </c>
      <c r="Z23" s="74" t="str">
        <f t="shared" si="17"/>
        <v>-</v>
      </c>
      <c r="AA23" s="75" t="str">
        <f t="shared" si="18"/>
        <v/>
      </c>
      <c r="AB23" s="34"/>
      <c r="AC23" s="38"/>
      <c r="AE23" s="179"/>
      <c r="AF23" s="66" t="s">
        <v>72</v>
      </c>
      <c r="AG23" s="66">
        <f t="shared" si="19"/>
        <v>7.5</v>
      </c>
      <c r="AH23" s="66">
        <f t="shared" si="20"/>
        <v>15</v>
      </c>
      <c r="AI23" s="66">
        <f t="shared" si="21"/>
        <v>22.5</v>
      </c>
      <c r="AJ23" s="66">
        <f t="shared" si="22"/>
        <v>45</v>
      </c>
      <c r="AK23" s="66" t="str">
        <f t="shared" si="5"/>
        <v/>
      </c>
      <c r="AL23" s="66" t="str">
        <f t="shared" si="6"/>
        <v>-</v>
      </c>
      <c r="AM23" s="66" t="str">
        <f t="shared" si="7"/>
        <v>-</v>
      </c>
      <c r="AN23" s="66" t="str">
        <f t="shared" si="23"/>
        <v>-</v>
      </c>
      <c r="AO23" s="74" t="str">
        <f t="shared" si="24"/>
        <v>-</v>
      </c>
      <c r="AP23" s="75" t="str">
        <f t="shared" si="25"/>
        <v/>
      </c>
      <c r="AQ23" s="34"/>
      <c r="AR23" s="34"/>
    </row>
    <row r="24" spans="1:44" s="37" customFormat="1" ht="24.95" customHeight="1" thickBot="1" x14ac:dyDescent="0.35">
      <c r="A24" s="66">
        <v>8</v>
      </c>
      <c r="B24" s="66" t="s">
        <v>84</v>
      </c>
      <c r="C24" s="66">
        <f>D24/5</f>
        <v>20</v>
      </c>
      <c r="D24" s="66">
        <f>IF(COUNTA(G13:G14)&gt;0,50,100)</f>
        <v>100</v>
      </c>
      <c r="E24" s="66">
        <f>F24/5</f>
        <v>60</v>
      </c>
      <c r="F24" s="66">
        <f>IF(COUNTA(G13:G14)&gt;0,150,300)</f>
        <v>300</v>
      </c>
      <c r="G24" s="68"/>
      <c r="H24" s="66" t="str">
        <f t="shared" si="26"/>
        <v>-</v>
      </c>
      <c r="I24" s="66" t="str">
        <f t="shared" si="0"/>
        <v>-</v>
      </c>
      <c r="J24" s="66" t="str">
        <f t="shared" si="1"/>
        <v>-</v>
      </c>
      <c r="K24" s="74" t="str">
        <f t="shared" si="10"/>
        <v>-</v>
      </c>
      <c r="L24" s="75" t="str">
        <f t="shared" si="11"/>
        <v/>
      </c>
      <c r="M24" s="34"/>
      <c r="N24" s="38"/>
      <c r="P24" s="66">
        <v>8</v>
      </c>
      <c r="Q24" s="66" t="s">
        <v>18</v>
      </c>
      <c r="R24" s="66">
        <f>S24/5</f>
        <v>13.333333333333332</v>
      </c>
      <c r="S24" s="66">
        <f t="shared" si="13"/>
        <v>66.666666666666657</v>
      </c>
      <c r="T24" s="66">
        <f>U24/5</f>
        <v>40</v>
      </c>
      <c r="U24" s="66">
        <f t="shared" si="15"/>
        <v>200</v>
      </c>
      <c r="V24" s="66" t="str">
        <f t="shared" si="2"/>
        <v/>
      </c>
      <c r="W24" s="66" t="str">
        <f t="shared" si="3"/>
        <v>-</v>
      </c>
      <c r="X24" s="66" t="str">
        <f t="shared" si="4"/>
        <v>-</v>
      </c>
      <c r="Y24" s="66" t="str">
        <f t="shared" si="16"/>
        <v>-</v>
      </c>
      <c r="Z24" s="74" t="str">
        <f t="shared" si="17"/>
        <v>-</v>
      </c>
      <c r="AA24" s="75" t="str">
        <f t="shared" si="18"/>
        <v/>
      </c>
      <c r="AB24" s="34"/>
      <c r="AC24" s="38"/>
      <c r="AE24" s="66">
        <v>8</v>
      </c>
      <c r="AF24" s="66" t="s">
        <v>18</v>
      </c>
      <c r="AG24" s="66">
        <f>AH24/5</f>
        <v>10</v>
      </c>
      <c r="AH24" s="66">
        <f t="shared" si="20"/>
        <v>50</v>
      </c>
      <c r="AI24" s="66">
        <f>AJ24/5</f>
        <v>30</v>
      </c>
      <c r="AJ24" s="66">
        <f t="shared" si="22"/>
        <v>150</v>
      </c>
      <c r="AK24" s="66" t="str">
        <f t="shared" si="5"/>
        <v/>
      </c>
      <c r="AL24" s="66" t="str">
        <f t="shared" si="6"/>
        <v>-</v>
      </c>
      <c r="AM24" s="66" t="str">
        <f t="shared" si="7"/>
        <v>-</v>
      </c>
      <c r="AN24" s="66" t="str">
        <f t="shared" si="23"/>
        <v>-</v>
      </c>
      <c r="AO24" s="74" t="str">
        <f t="shared" si="24"/>
        <v>-</v>
      </c>
      <c r="AP24" s="75" t="str">
        <f t="shared" si="25"/>
        <v/>
      </c>
      <c r="AQ24" s="34"/>
      <c r="AR24" s="34"/>
    </row>
    <row r="25" spans="1:44" s="37" customFormat="1" ht="18.75" customHeight="1" thickTop="1" x14ac:dyDescent="0.3">
      <c r="A25" s="203" t="s">
        <v>146</v>
      </c>
      <c r="B25" s="204"/>
      <c r="C25" s="150" t="s">
        <v>106</v>
      </c>
      <c r="D25" s="201"/>
      <c r="E25" s="201"/>
      <c r="F25" s="202"/>
      <c r="G25" s="148" t="s">
        <v>29</v>
      </c>
      <c r="H25" s="149" t="s">
        <v>121</v>
      </c>
      <c r="I25" s="149"/>
      <c r="J25" s="149"/>
      <c r="K25" s="150"/>
      <c r="L25" s="213" t="s">
        <v>44</v>
      </c>
      <c r="M25" s="34"/>
      <c r="N25" s="38"/>
      <c r="P25" s="203" t="s">
        <v>145</v>
      </c>
      <c r="Q25" s="204"/>
      <c r="R25" s="150" t="s">
        <v>106</v>
      </c>
      <c r="S25" s="201"/>
      <c r="T25" s="201"/>
      <c r="U25" s="202"/>
      <c r="V25" s="148" t="s">
        <v>29</v>
      </c>
      <c r="W25" s="149" t="s">
        <v>121</v>
      </c>
      <c r="X25" s="149"/>
      <c r="Y25" s="149"/>
      <c r="Z25" s="150"/>
      <c r="AA25" s="94"/>
      <c r="AB25" s="34"/>
      <c r="AC25" s="38"/>
      <c r="AE25" s="203" t="s">
        <v>146</v>
      </c>
      <c r="AF25" s="204"/>
      <c r="AG25" s="150" t="s">
        <v>106</v>
      </c>
      <c r="AH25" s="201"/>
      <c r="AI25" s="201"/>
      <c r="AJ25" s="202"/>
      <c r="AK25" s="148" t="s">
        <v>29</v>
      </c>
      <c r="AL25" s="149" t="s">
        <v>121</v>
      </c>
      <c r="AM25" s="149"/>
      <c r="AN25" s="149"/>
      <c r="AO25" s="150"/>
      <c r="AP25" s="94"/>
      <c r="AQ25" s="34"/>
      <c r="AR25" s="34"/>
    </row>
    <row r="26" spans="1:44" s="37" customFormat="1" ht="18.75" customHeight="1" x14ac:dyDescent="0.3">
      <c r="A26" s="205"/>
      <c r="B26" s="206"/>
      <c r="C26" s="150" t="s">
        <v>148</v>
      </c>
      <c r="D26" s="202"/>
      <c r="E26" s="150" t="s">
        <v>147</v>
      </c>
      <c r="F26" s="202"/>
      <c r="G26" s="148"/>
      <c r="H26" s="198" t="s">
        <v>149</v>
      </c>
      <c r="I26" s="199"/>
      <c r="J26" s="198" t="s">
        <v>147</v>
      </c>
      <c r="K26" s="200"/>
      <c r="L26" s="214"/>
      <c r="M26" s="34"/>
      <c r="N26" s="38"/>
      <c r="P26" s="205"/>
      <c r="Q26" s="206"/>
      <c r="R26" s="150" t="s">
        <v>148</v>
      </c>
      <c r="S26" s="202"/>
      <c r="T26" s="150" t="s">
        <v>147</v>
      </c>
      <c r="U26" s="202"/>
      <c r="V26" s="148"/>
      <c r="W26" s="198" t="s">
        <v>149</v>
      </c>
      <c r="X26" s="199"/>
      <c r="Y26" s="198" t="s">
        <v>147</v>
      </c>
      <c r="Z26" s="200"/>
      <c r="AA26" s="94"/>
      <c r="AB26" s="34"/>
      <c r="AC26" s="38"/>
      <c r="AE26" s="205"/>
      <c r="AF26" s="206"/>
      <c r="AG26" s="150" t="s">
        <v>148</v>
      </c>
      <c r="AH26" s="202"/>
      <c r="AI26" s="150" t="s">
        <v>147</v>
      </c>
      <c r="AJ26" s="202"/>
      <c r="AK26" s="148"/>
      <c r="AL26" s="198" t="s">
        <v>149</v>
      </c>
      <c r="AM26" s="199"/>
      <c r="AN26" s="198" t="s">
        <v>147</v>
      </c>
      <c r="AO26" s="200"/>
      <c r="AP26" s="94"/>
      <c r="AQ26" s="34"/>
      <c r="AR26" s="34"/>
    </row>
    <row r="27" spans="1:44" s="37" customFormat="1" ht="24.95" customHeight="1" x14ac:dyDescent="0.3">
      <c r="A27" s="208" t="s">
        <v>74</v>
      </c>
      <c r="B27" s="66" t="s">
        <v>137</v>
      </c>
      <c r="C27" s="195">
        <f>IF(COUNTA($G$13:$G$14,$G$16:$G$18,$G$9)=0,E27/2,E27/10)</f>
        <v>0.75</v>
      </c>
      <c r="D27" s="196"/>
      <c r="E27" s="195">
        <v>1.5</v>
      </c>
      <c r="F27" s="196"/>
      <c r="G27" s="68"/>
      <c r="H27" s="195" t="str">
        <f>IF(G27&lt;&gt;"",G27*$D$4*$D$3,"-")</f>
        <v>-</v>
      </c>
      <c r="I27" s="196"/>
      <c r="J27" s="195" t="str">
        <f>IF(G27&lt;&gt;"",G27*$F$3*$F$4,"-")</f>
        <v>-</v>
      </c>
      <c r="K27" s="197"/>
      <c r="L27" s="75" t="str">
        <f>IF(G27="","",IF(AND(H27&gt;=C27,J27&lt;=E27),"O","X"))</f>
        <v/>
      </c>
      <c r="M27" s="34"/>
      <c r="N27" s="38"/>
      <c r="P27" s="208" t="s">
        <v>74</v>
      </c>
      <c r="Q27" s="66" t="s">
        <v>137</v>
      </c>
      <c r="R27" s="195">
        <f>T27/10</f>
        <v>0.1</v>
      </c>
      <c r="S27" s="196"/>
      <c r="T27" s="195">
        <f>E27*$R$6</f>
        <v>1</v>
      </c>
      <c r="U27" s="196"/>
      <c r="V27" s="66" t="str">
        <f t="shared" ref="V27:V34" si="41">IF(G27&lt;&gt;"",G27,"")</f>
        <v/>
      </c>
      <c r="W27" s="195" t="str">
        <f>IF(V27&lt;&gt;"",V27*$S$4*$S$3,"-")</f>
        <v>-</v>
      </c>
      <c r="X27" s="196"/>
      <c r="Y27" s="195" t="str">
        <f>IF(V27&lt;&gt;"",V27*$U$3*$U$4,"-")</f>
        <v>-</v>
      </c>
      <c r="Z27" s="197"/>
      <c r="AA27" s="75" t="str">
        <f>IF(V27="","",IF(AND(W27&gt;=R27,Y27&lt;=T27),"O","X"))</f>
        <v/>
      </c>
      <c r="AB27" s="34"/>
      <c r="AC27" s="38"/>
      <c r="AE27" s="208" t="s">
        <v>74</v>
      </c>
      <c r="AF27" s="66" t="s">
        <v>137</v>
      </c>
      <c r="AG27" s="195">
        <f>AI27/10</f>
        <v>7.4999999999999997E-2</v>
      </c>
      <c r="AH27" s="196"/>
      <c r="AI27" s="195">
        <f>E27*$AG$6</f>
        <v>0.75</v>
      </c>
      <c r="AJ27" s="196"/>
      <c r="AK27" s="66" t="str">
        <f t="shared" ref="AK27:AK34" si="42">IF(V27&lt;&gt;"",V27,"")</f>
        <v/>
      </c>
      <c r="AL27" s="195" t="str">
        <f>IF(AK27&lt;&gt;"",AK27*$AH$4*$AH$3,"-")</f>
        <v>-</v>
      </c>
      <c r="AM27" s="196"/>
      <c r="AN27" s="195" t="str">
        <f>IF(AK27&lt;&gt;"",AK27*$AJ$3*$AJ$4,"-")</f>
        <v>-</v>
      </c>
      <c r="AO27" s="197"/>
      <c r="AP27" s="75" t="str">
        <f>IF(AK27="","",IF(AND(AL27&gt;=AG27,AN27&lt;=AI27),"O","X"))</f>
        <v/>
      </c>
      <c r="AQ27" s="34"/>
      <c r="AR27" s="34"/>
    </row>
    <row r="28" spans="1:44" s="37" customFormat="1" ht="24.95" customHeight="1" x14ac:dyDescent="0.3">
      <c r="A28" s="209"/>
      <c r="B28" s="66" t="s">
        <v>138</v>
      </c>
      <c r="C28" s="195">
        <f>IF(COUNTA($G$13:$G$14,$G$16:$G$18,$G$9)=0,E28/2,E28/10)</f>
        <v>1</v>
      </c>
      <c r="D28" s="196"/>
      <c r="E28" s="195">
        <v>2</v>
      </c>
      <c r="F28" s="196"/>
      <c r="G28" s="68"/>
      <c r="H28" s="195" t="str">
        <f t="shared" ref="H28:H34" si="43">IF(G28&lt;&gt;"",G28*$D$4*$D$3,"-")</f>
        <v>-</v>
      </c>
      <c r="I28" s="196"/>
      <c r="J28" s="195" t="str">
        <f t="shared" ref="J28:J34" si="44">IF(G28&lt;&gt;"",G28*$F$3*$F$4,"-")</f>
        <v>-</v>
      </c>
      <c r="K28" s="197"/>
      <c r="L28" s="75" t="str">
        <f t="shared" ref="L28:L34" si="45">IF(G28="","",IF(AND(H28&gt;=C28,J28&lt;=E28),"O","X"))</f>
        <v/>
      </c>
      <c r="M28" s="34"/>
      <c r="N28" s="38"/>
      <c r="P28" s="209"/>
      <c r="Q28" s="66" t="s">
        <v>138</v>
      </c>
      <c r="R28" s="195">
        <f t="shared" ref="R28" si="46">T28/10</f>
        <v>0.13333333333333333</v>
      </c>
      <c r="S28" s="196"/>
      <c r="T28" s="195">
        <f t="shared" ref="T28:T34" si="47">E28*$R$6</f>
        <v>1.3333333333333333</v>
      </c>
      <c r="U28" s="196"/>
      <c r="V28" s="66" t="str">
        <f t="shared" si="41"/>
        <v/>
      </c>
      <c r="W28" s="195" t="str">
        <f t="shared" ref="W28:W34" si="48">IF(V28&lt;&gt;"",V28*$S$4*$S$3,"-")</f>
        <v>-</v>
      </c>
      <c r="X28" s="196"/>
      <c r="Y28" s="195" t="str">
        <f t="shared" ref="Y28:Y34" si="49">IF(V28&lt;&gt;"",V28*$U$3*$U$4,"-")</f>
        <v>-</v>
      </c>
      <c r="Z28" s="197"/>
      <c r="AA28" s="75" t="str">
        <f t="shared" ref="AA28:AA34" si="50">IF(V28="","",IF(AND(W28&gt;=R28,Y28&lt;=T28),"O","X"))</f>
        <v/>
      </c>
      <c r="AB28" s="34"/>
      <c r="AC28" s="38"/>
      <c r="AE28" s="209"/>
      <c r="AF28" s="66" t="s">
        <v>138</v>
      </c>
      <c r="AG28" s="195">
        <f t="shared" ref="AG28" si="51">AI28/10</f>
        <v>0.1</v>
      </c>
      <c r="AH28" s="196"/>
      <c r="AI28" s="195">
        <f t="shared" ref="AI28:AI34" si="52">E28*$AG$6</f>
        <v>1</v>
      </c>
      <c r="AJ28" s="196"/>
      <c r="AK28" s="66" t="str">
        <f t="shared" si="42"/>
        <v/>
      </c>
      <c r="AL28" s="195" t="str">
        <f t="shared" ref="AL28:AL34" si="53">IF(AK28&lt;&gt;"",AK28*$AH$4*$AH$3,"-")</f>
        <v>-</v>
      </c>
      <c r="AM28" s="196"/>
      <c r="AN28" s="195" t="str">
        <f t="shared" ref="AN28:AN34" si="54">IF(AK28&lt;&gt;"",AK28*$AJ$3*$AJ$4,"-")</f>
        <v>-</v>
      </c>
      <c r="AO28" s="197"/>
      <c r="AP28" s="75" t="str">
        <f t="shared" ref="AP28:AP34" si="55">IF(AK28="","",IF(AND(AL28&gt;=AG28,AN28&lt;=AI28),"O","X"))</f>
        <v/>
      </c>
      <c r="AQ28" s="34"/>
      <c r="AR28" s="34"/>
    </row>
    <row r="29" spans="1:44" s="37" customFormat="1" ht="24.95" customHeight="1" x14ac:dyDescent="0.3">
      <c r="A29" s="210"/>
      <c r="B29" s="66" t="s">
        <v>139</v>
      </c>
      <c r="C29" s="195" t="s">
        <v>136</v>
      </c>
      <c r="D29" s="196"/>
      <c r="E29" s="195" t="s">
        <v>136</v>
      </c>
      <c r="F29" s="196"/>
      <c r="G29" s="68"/>
      <c r="H29" s="195" t="str">
        <f t="shared" si="43"/>
        <v>-</v>
      </c>
      <c r="I29" s="196"/>
      <c r="J29" s="195" t="str">
        <f t="shared" si="44"/>
        <v>-</v>
      </c>
      <c r="K29" s="197"/>
      <c r="L29" s="75" t="str">
        <f>IF(G29="","","-")</f>
        <v/>
      </c>
      <c r="M29" s="34"/>
      <c r="N29" s="38"/>
      <c r="P29" s="210"/>
      <c r="Q29" s="66" t="s">
        <v>139</v>
      </c>
      <c r="R29" s="195" t="s">
        <v>136</v>
      </c>
      <c r="S29" s="196"/>
      <c r="T29" s="195" t="s">
        <v>136</v>
      </c>
      <c r="U29" s="196"/>
      <c r="V29" s="66" t="str">
        <f t="shared" si="41"/>
        <v/>
      </c>
      <c r="W29" s="195" t="str">
        <f t="shared" si="48"/>
        <v>-</v>
      </c>
      <c r="X29" s="196"/>
      <c r="Y29" s="195" t="str">
        <f t="shared" si="49"/>
        <v>-</v>
      </c>
      <c r="Z29" s="197"/>
      <c r="AA29" s="75" t="str">
        <f>IF(V29="","","-")</f>
        <v/>
      </c>
      <c r="AB29" s="34"/>
      <c r="AC29" s="38"/>
      <c r="AE29" s="210"/>
      <c r="AF29" s="66" t="s">
        <v>139</v>
      </c>
      <c r="AG29" s="195" t="s">
        <v>136</v>
      </c>
      <c r="AH29" s="196"/>
      <c r="AI29" s="195" t="s">
        <v>136</v>
      </c>
      <c r="AJ29" s="196"/>
      <c r="AK29" s="66" t="str">
        <f t="shared" si="42"/>
        <v/>
      </c>
      <c r="AL29" s="195" t="str">
        <f t="shared" si="53"/>
        <v>-</v>
      </c>
      <c r="AM29" s="196"/>
      <c r="AN29" s="195" t="str">
        <f t="shared" si="54"/>
        <v>-</v>
      </c>
      <c r="AO29" s="197"/>
      <c r="AP29" s="75" t="str">
        <f>IF(AK29="","","-")</f>
        <v/>
      </c>
      <c r="AQ29" s="34"/>
      <c r="AR29" s="34"/>
    </row>
    <row r="30" spans="1:44" s="37" customFormat="1" ht="24.95" customHeight="1" x14ac:dyDescent="0.3">
      <c r="A30" s="208" t="s">
        <v>75</v>
      </c>
      <c r="B30" s="66" t="s">
        <v>140</v>
      </c>
      <c r="C30" s="195">
        <f t="shared" ref="C30:C34" si="56">E30/10</f>
        <v>0.1</v>
      </c>
      <c r="D30" s="196"/>
      <c r="E30" s="195">
        <v>1</v>
      </c>
      <c r="F30" s="196"/>
      <c r="G30" s="68"/>
      <c r="H30" s="195" t="str">
        <f t="shared" si="43"/>
        <v>-</v>
      </c>
      <c r="I30" s="196"/>
      <c r="J30" s="195" t="str">
        <f t="shared" si="44"/>
        <v>-</v>
      </c>
      <c r="K30" s="197"/>
      <c r="L30" s="75" t="str">
        <f t="shared" si="45"/>
        <v/>
      </c>
      <c r="M30" s="34"/>
      <c r="N30" s="38"/>
      <c r="P30" s="208" t="s">
        <v>75</v>
      </c>
      <c r="Q30" s="66" t="s">
        <v>140</v>
      </c>
      <c r="R30" s="195">
        <f t="shared" ref="R30" si="57">T30/10</f>
        <v>6.6666666666666666E-2</v>
      </c>
      <c r="S30" s="196"/>
      <c r="T30" s="195">
        <f t="shared" si="47"/>
        <v>0.66666666666666663</v>
      </c>
      <c r="U30" s="196"/>
      <c r="V30" s="66" t="str">
        <f t="shared" si="41"/>
        <v/>
      </c>
      <c r="W30" s="195" t="str">
        <f t="shared" si="48"/>
        <v>-</v>
      </c>
      <c r="X30" s="196"/>
      <c r="Y30" s="195" t="str">
        <f t="shared" si="49"/>
        <v>-</v>
      </c>
      <c r="Z30" s="197"/>
      <c r="AA30" s="75" t="str">
        <f t="shared" si="50"/>
        <v/>
      </c>
      <c r="AB30" s="34"/>
      <c r="AC30" s="38"/>
      <c r="AE30" s="208" t="s">
        <v>75</v>
      </c>
      <c r="AF30" s="66" t="s">
        <v>140</v>
      </c>
      <c r="AG30" s="195">
        <f t="shared" ref="AG30" si="58">AI30/10</f>
        <v>0.05</v>
      </c>
      <c r="AH30" s="196"/>
      <c r="AI30" s="195">
        <f t="shared" si="52"/>
        <v>0.5</v>
      </c>
      <c r="AJ30" s="196"/>
      <c r="AK30" s="66" t="str">
        <f t="shared" si="42"/>
        <v/>
      </c>
      <c r="AL30" s="195" t="str">
        <f t="shared" si="53"/>
        <v>-</v>
      </c>
      <c r="AM30" s="196"/>
      <c r="AN30" s="195" t="str">
        <f t="shared" si="54"/>
        <v>-</v>
      </c>
      <c r="AO30" s="197"/>
      <c r="AP30" s="75" t="str">
        <f t="shared" si="55"/>
        <v/>
      </c>
      <c r="AQ30" s="34"/>
      <c r="AR30" s="34"/>
    </row>
    <row r="31" spans="1:44" s="37" customFormat="1" ht="24.95" customHeight="1" x14ac:dyDescent="0.3">
      <c r="A31" s="209"/>
      <c r="B31" s="66" t="s">
        <v>141</v>
      </c>
      <c r="C31" s="195" t="s">
        <v>136</v>
      </c>
      <c r="D31" s="196"/>
      <c r="E31" s="195" t="s">
        <v>136</v>
      </c>
      <c r="F31" s="196"/>
      <c r="G31" s="68"/>
      <c r="H31" s="195" t="str">
        <f t="shared" si="43"/>
        <v>-</v>
      </c>
      <c r="I31" s="196"/>
      <c r="J31" s="195" t="str">
        <f t="shared" si="44"/>
        <v>-</v>
      </c>
      <c r="K31" s="197"/>
      <c r="L31" s="75" t="str">
        <f>IF(G31="","","-")</f>
        <v/>
      </c>
      <c r="M31" s="34"/>
      <c r="N31" s="38"/>
      <c r="P31" s="209"/>
      <c r="Q31" s="66" t="s">
        <v>141</v>
      </c>
      <c r="R31" s="195" t="s">
        <v>136</v>
      </c>
      <c r="S31" s="196"/>
      <c r="T31" s="195" t="s">
        <v>136</v>
      </c>
      <c r="U31" s="196"/>
      <c r="V31" s="66" t="str">
        <f t="shared" si="41"/>
        <v/>
      </c>
      <c r="W31" s="195" t="str">
        <f t="shared" si="48"/>
        <v>-</v>
      </c>
      <c r="X31" s="196"/>
      <c r="Y31" s="195" t="str">
        <f t="shared" si="49"/>
        <v>-</v>
      </c>
      <c r="Z31" s="197"/>
      <c r="AA31" s="75" t="str">
        <f>IF(V31="","","-")</f>
        <v/>
      </c>
      <c r="AB31" s="34"/>
      <c r="AC31" s="38"/>
      <c r="AE31" s="209"/>
      <c r="AF31" s="66" t="s">
        <v>141</v>
      </c>
      <c r="AG31" s="195" t="s">
        <v>136</v>
      </c>
      <c r="AH31" s="196"/>
      <c r="AI31" s="195" t="s">
        <v>136</v>
      </c>
      <c r="AJ31" s="196"/>
      <c r="AK31" s="66" t="str">
        <f t="shared" si="42"/>
        <v/>
      </c>
      <c r="AL31" s="195" t="str">
        <f t="shared" si="53"/>
        <v>-</v>
      </c>
      <c r="AM31" s="196"/>
      <c r="AN31" s="195" t="str">
        <f t="shared" si="54"/>
        <v>-</v>
      </c>
      <c r="AO31" s="197"/>
      <c r="AP31" s="75" t="str">
        <f>IF(AK31="","","-")</f>
        <v/>
      </c>
      <c r="AQ31" s="34"/>
      <c r="AR31" s="34"/>
    </row>
    <row r="32" spans="1:44" s="37" customFormat="1" ht="24.95" customHeight="1" x14ac:dyDescent="0.3">
      <c r="A32" s="209"/>
      <c r="B32" s="66" t="s">
        <v>142</v>
      </c>
      <c r="C32" s="195">
        <f t="shared" si="56"/>
        <v>0.2</v>
      </c>
      <c r="D32" s="196"/>
      <c r="E32" s="195">
        <v>2</v>
      </c>
      <c r="F32" s="196"/>
      <c r="G32" s="68"/>
      <c r="H32" s="195" t="str">
        <f t="shared" si="43"/>
        <v>-</v>
      </c>
      <c r="I32" s="196"/>
      <c r="J32" s="195" t="str">
        <f t="shared" si="44"/>
        <v>-</v>
      </c>
      <c r="K32" s="197"/>
      <c r="L32" s="75" t="str">
        <f t="shared" si="45"/>
        <v/>
      </c>
      <c r="M32" s="34"/>
      <c r="N32" s="38"/>
      <c r="P32" s="209"/>
      <c r="Q32" s="66" t="s">
        <v>142</v>
      </c>
      <c r="R32" s="195">
        <f t="shared" ref="R32:R34" si="59">T32/10</f>
        <v>0.13333333333333333</v>
      </c>
      <c r="S32" s="196"/>
      <c r="T32" s="195">
        <f t="shared" si="47"/>
        <v>1.3333333333333333</v>
      </c>
      <c r="U32" s="196"/>
      <c r="V32" s="66" t="str">
        <f t="shared" si="41"/>
        <v/>
      </c>
      <c r="W32" s="195" t="str">
        <f t="shared" si="48"/>
        <v>-</v>
      </c>
      <c r="X32" s="196"/>
      <c r="Y32" s="195" t="str">
        <f t="shared" si="49"/>
        <v>-</v>
      </c>
      <c r="Z32" s="197"/>
      <c r="AA32" s="75" t="str">
        <f t="shared" si="50"/>
        <v/>
      </c>
      <c r="AB32" s="34"/>
      <c r="AC32" s="38"/>
      <c r="AE32" s="209"/>
      <c r="AF32" s="66" t="s">
        <v>142</v>
      </c>
      <c r="AG32" s="195">
        <f t="shared" ref="AG32:AG34" si="60">AI32/10</f>
        <v>0.1</v>
      </c>
      <c r="AH32" s="196"/>
      <c r="AI32" s="195">
        <f t="shared" si="52"/>
        <v>1</v>
      </c>
      <c r="AJ32" s="196"/>
      <c r="AK32" s="66" t="str">
        <f t="shared" si="42"/>
        <v/>
      </c>
      <c r="AL32" s="195" t="str">
        <f t="shared" si="53"/>
        <v>-</v>
      </c>
      <c r="AM32" s="196"/>
      <c r="AN32" s="195" t="str">
        <f t="shared" si="54"/>
        <v>-</v>
      </c>
      <c r="AO32" s="197"/>
      <c r="AP32" s="75" t="str">
        <f t="shared" si="55"/>
        <v/>
      </c>
      <c r="AQ32" s="34"/>
      <c r="AR32" s="34"/>
    </row>
    <row r="33" spans="1:44" s="37" customFormat="1" ht="24.95" customHeight="1" x14ac:dyDescent="0.3">
      <c r="A33" s="209"/>
      <c r="B33" s="66" t="s">
        <v>143</v>
      </c>
      <c r="C33" s="195">
        <f t="shared" si="56"/>
        <v>0.3</v>
      </c>
      <c r="D33" s="196"/>
      <c r="E33" s="195">
        <v>3</v>
      </c>
      <c r="F33" s="196"/>
      <c r="G33" s="68"/>
      <c r="H33" s="195" t="str">
        <f t="shared" si="43"/>
        <v>-</v>
      </c>
      <c r="I33" s="196"/>
      <c r="J33" s="195" t="str">
        <f t="shared" si="44"/>
        <v>-</v>
      </c>
      <c r="K33" s="197"/>
      <c r="L33" s="75" t="str">
        <f t="shared" si="45"/>
        <v/>
      </c>
      <c r="M33" s="34"/>
      <c r="N33" s="38"/>
      <c r="P33" s="209"/>
      <c r="Q33" s="66" t="s">
        <v>143</v>
      </c>
      <c r="R33" s="195">
        <f t="shared" si="59"/>
        <v>0.2</v>
      </c>
      <c r="S33" s="196"/>
      <c r="T33" s="195">
        <f t="shared" si="47"/>
        <v>2</v>
      </c>
      <c r="U33" s="196"/>
      <c r="V33" s="66" t="str">
        <f t="shared" si="41"/>
        <v/>
      </c>
      <c r="W33" s="195" t="str">
        <f t="shared" si="48"/>
        <v>-</v>
      </c>
      <c r="X33" s="196"/>
      <c r="Y33" s="195" t="str">
        <f t="shared" si="49"/>
        <v>-</v>
      </c>
      <c r="Z33" s="197"/>
      <c r="AA33" s="75" t="str">
        <f t="shared" si="50"/>
        <v/>
      </c>
      <c r="AB33" s="34"/>
      <c r="AC33" s="38"/>
      <c r="AE33" s="209"/>
      <c r="AF33" s="66" t="s">
        <v>143</v>
      </c>
      <c r="AG33" s="195">
        <f t="shared" si="60"/>
        <v>0.15</v>
      </c>
      <c r="AH33" s="196"/>
      <c r="AI33" s="195">
        <f t="shared" si="52"/>
        <v>1.5</v>
      </c>
      <c r="AJ33" s="196"/>
      <c r="AK33" s="66" t="str">
        <f t="shared" si="42"/>
        <v/>
      </c>
      <c r="AL33" s="195" t="str">
        <f t="shared" si="53"/>
        <v>-</v>
      </c>
      <c r="AM33" s="196"/>
      <c r="AN33" s="195" t="str">
        <f t="shared" si="54"/>
        <v>-</v>
      </c>
      <c r="AO33" s="197"/>
      <c r="AP33" s="75" t="str">
        <f t="shared" si="55"/>
        <v/>
      </c>
      <c r="AQ33" s="34"/>
      <c r="AR33" s="34"/>
    </row>
    <row r="34" spans="1:44" s="37" customFormat="1" ht="24.95" customHeight="1" thickBot="1" x14ac:dyDescent="0.35">
      <c r="A34" s="210"/>
      <c r="B34" s="66" t="s">
        <v>144</v>
      </c>
      <c r="C34" s="195">
        <f t="shared" si="56"/>
        <v>0.3</v>
      </c>
      <c r="D34" s="196"/>
      <c r="E34" s="195">
        <v>3</v>
      </c>
      <c r="F34" s="196"/>
      <c r="G34" s="68"/>
      <c r="H34" s="195" t="str">
        <f t="shared" si="43"/>
        <v>-</v>
      </c>
      <c r="I34" s="196"/>
      <c r="J34" s="195" t="str">
        <f t="shared" si="44"/>
        <v>-</v>
      </c>
      <c r="K34" s="197"/>
      <c r="L34" s="76" t="str">
        <f t="shared" si="45"/>
        <v/>
      </c>
      <c r="M34" s="34"/>
      <c r="N34" s="38"/>
      <c r="P34" s="210"/>
      <c r="Q34" s="66" t="s">
        <v>144</v>
      </c>
      <c r="R34" s="195">
        <f t="shared" si="59"/>
        <v>0.2</v>
      </c>
      <c r="S34" s="196"/>
      <c r="T34" s="195">
        <f t="shared" si="47"/>
        <v>2</v>
      </c>
      <c r="U34" s="196"/>
      <c r="V34" s="66" t="str">
        <f t="shared" si="41"/>
        <v/>
      </c>
      <c r="W34" s="195" t="str">
        <f t="shared" si="48"/>
        <v>-</v>
      </c>
      <c r="X34" s="196"/>
      <c r="Y34" s="195" t="str">
        <f t="shared" si="49"/>
        <v>-</v>
      </c>
      <c r="Z34" s="197"/>
      <c r="AA34" s="76" t="str">
        <f t="shared" si="50"/>
        <v/>
      </c>
      <c r="AB34" s="34"/>
      <c r="AC34" s="38"/>
      <c r="AE34" s="210"/>
      <c r="AF34" s="66" t="s">
        <v>144</v>
      </c>
      <c r="AG34" s="195">
        <f t="shared" si="60"/>
        <v>0.15</v>
      </c>
      <c r="AH34" s="196"/>
      <c r="AI34" s="195">
        <f t="shared" si="52"/>
        <v>1.5</v>
      </c>
      <c r="AJ34" s="196"/>
      <c r="AK34" s="66" t="str">
        <f t="shared" si="42"/>
        <v/>
      </c>
      <c r="AL34" s="195" t="str">
        <f t="shared" si="53"/>
        <v>-</v>
      </c>
      <c r="AM34" s="196"/>
      <c r="AN34" s="195" t="str">
        <f t="shared" si="54"/>
        <v>-</v>
      </c>
      <c r="AO34" s="197"/>
      <c r="AP34" s="76" t="str">
        <f t="shared" si="55"/>
        <v/>
      </c>
      <c r="AQ34" s="34"/>
      <c r="AR34" s="34"/>
    </row>
    <row r="35" spans="1:44" s="37" customFormat="1" ht="15" thickTop="1" thickBot="1" x14ac:dyDescent="0.35">
      <c r="B35" s="34"/>
      <c r="F35" s="34"/>
      <c r="G35" s="34"/>
      <c r="H35" s="34"/>
      <c r="I35" s="34"/>
      <c r="J35" s="34"/>
      <c r="K35" s="34"/>
      <c r="L35" s="34"/>
      <c r="N35" s="38"/>
      <c r="Q35" s="34"/>
      <c r="R35" s="34"/>
      <c r="U35" s="34"/>
      <c r="V35" s="34"/>
      <c r="W35" s="34"/>
      <c r="X35" s="34"/>
      <c r="Y35" s="34"/>
      <c r="Z35" s="34"/>
      <c r="AA35" s="34"/>
      <c r="AC35" s="38"/>
      <c r="AF35" s="34"/>
      <c r="AG35" s="34"/>
      <c r="AJ35" s="34"/>
      <c r="AK35" s="34"/>
      <c r="AL35" s="34"/>
      <c r="AM35" s="34"/>
      <c r="AN35" s="34"/>
    </row>
    <row r="36" spans="1:44" s="37" customFormat="1" ht="24.95" customHeight="1" thickTop="1" x14ac:dyDescent="0.3">
      <c r="A36" s="207" t="s">
        <v>111</v>
      </c>
      <c r="B36" s="207"/>
      <c r="C36" s="207"/>
      <c r="D36" s="207"/>
      <c r="E36" s="207"/>
      <c r="F36" s="207"/>
      <c r="G36" s="207"/>
      <c r="H36" s="207"/>
      <c r="I36" s="207"/>
      <c r="J36" s="207"/>
      <c r="K36" s="207"/>
      <c r="L36" s="91" t="s">
        <v>110</v>
      </c>
      <c r="N36" s="38"/>
      <c r="Q36" s="34"/>
      <c r="R36" s="34"/>
      <c r="U36" s="34"/>
      <c r="V36" s="34"/>
      <c r="W36" s="34"/>
      <c r="X36" s="34"/>
      <c r="Y36" s="34"/>
      <c r="Z36" s="34"/>
      <c r="AA36" s="34"/>
      <c r="AC36" s="38"/>
      <c r="AF36" s="34"/>
      <c r="AG36" s="34"/>
      <c r="AJ36" s="34"/>
      <c r="AK36" s="34"/>
      <c r="AL36" s="34"/>
      <c r="AM36" s="34"/>
      <c r="AN36" s="34"/>
    </row>
    <row r="37" spans="1:44" s="37" customFormat="1" ht="27.75" customHeight="1" x14ac:dyDescent="0.3">
      <c r="A37" s="192" t="s">
        <v>127</v>
      </c>
      <c r="B37" s="193"/>
      <c r="C37" s="193"/>
      <c r="D37" s="193"/>
      <c r="E37" s="193"/>
      <c r="F37" s="193"/>
      <c r="G37" s="193"/>
      <c r="H37" s="193"/>
      <c r="I37" s="193"/>
      <c r="J37" s="193"/>
      <c r="K37" s="194"/>
      <c r="L37" s="79" t="str">
        <f>IF(COUNTA(G9:G24,G27:G34)=0,"",IF(COUNTA(G9:G15)&gt;=1,"O","X"))</f>
        <v/>
      </c>
      <c r="N37" s="38"/>
      <c r="Q37" s="34"/>
      <c r="R37" s="34"/>
      <c r="U37" s="34"/>
      <c r="V37" s="34"/>
      <c r="W37" s="34"/>
      <c r="X37" s="34"/>
      <c r="Y37" s="34"/>
      <c r="Z37" s="34"/>
      <c r="AA37" s="34"/>
      <c r="AC37" s="38"/>
      <c r="AF37" s="34"/>
      <c r="AG37" s="34"/>
      <c r="AJ37" s="34"/>
      <c r="AK37" s="34"/>
      <c r="AL37" s="34"/>
      <c r="AM37" s="34"/>
      <c r="AN37" s="34"/>
    </row>
    <row r="38" spans="1:44" s="37" customFormat="1" ht="27.75" customHeight="1" x14ac:dyDescent="0.3">
      <c r="A38" s="192" t="s">
        <v>128</v>
      </c>
      <c r="B38" s="193"/>
      <c r="C38" s="193"/>
      <c r="D38" s="193"/>
      <c r="E38" s="193"/>
      <c r="F38" s="193"/>
      <c r="G38" s="193"/>
      <c r="H38" s="193"/>
      <c r="I38" s="193"/>
      <c r="J38" s="193"/>
      <c r="K38" s="194"/>
      <c r="L38" s="75" t="str">
        <f>IF(COUNTA(G9:G24,G27:G34)=0,"",IF(G24="","-",IF(COUNTA(G9:G12,G19:G23)&gt;=1,"O","X")))</f>
        <v/>
      </c>
      <c r="N38" s="38"/>
      <c r="Q38" s="34"/>
      <c r="R38" s="34"/>
      <c r="U38" s="34"/>
      <c r="V38" s="34"/>
      <c r="W38" s="34"/>
      <c r="X38" s="34"/>
      <c r="Y38" s="34"/>
      <c r="Z38" s="34"/>
      <c r="AA38" s="34"/>
      <c r="AC38" s="38"/>
      <c r="AF38" s="34"/>
      <c r="AG38" s="34"/>
      <c r="AJ38" s="34"/>
      <c r="AK38" s="34"/>
      <c r="AL38" s="34"/>
      <c r="AM38" s="34"/>
      <c r="AN38" s="34"/>
    </row>
    <row r="39" spans="1:44" s="37" customFormat="1" ht="27.75" customHeight="1" x14ac:dyDescent="0.3">
      <c r="A39" s="192" t="s">
        <v>129</v>
      </c>
      <c r="B39" s="193"/>
      <c r="C39" s="193"/>
      <c r="D39" s="193"/>
      <c r="E39" s="193"/>
      <c r="F39" s="193"/>
      <c r="G39" s="193"/>
      <c r="H39" s="193"/>
      <c r="I39" s="193"/>
      <c r="J39" s="193"/>
      <c r="K39" s="194"/>
      <c r="L39" s="75" t="str">
        <f>IF(COUNTA(G9:G24,G27:G34)=0,"",IF(G24="","-",IF(OR(COUNTA(G9:G12)&gt;1,COUNTA(G13:G14)&gt;1,COUNTA(G13:G14)&gt;1,COUNTA(G16:G17)&gt;1,COUNTA(G19:G23)&gt;1),"X","O")))</f>
        <v/>
      </c>
      <c r="N39" s="38"/>
      <c r="Q39" s="34"/>
      <c r="R39" s="34"/>
      <c r="U39" s="34"/>
      <c r="V39" s="34"/>
      <c r="W39" s="34"/>
      <c r="X39" s="34"/>
      <c r="Y39" s="34"/>
      <c r="Z39" s="34"/>
      <c r="AA39" s="34"/>
      <c r="AC39" s="38"/>
      <c r="AF39" s="34"/>
      <c r="AG39" s="34"/>
      <c r="AJ39" s="34"/>
      <c r="AK39" s="34"/>
      <c r="AL39" s="34"/>
      <c r="AM39" s="34"/>
      <c r="AN39" s="34"/>
      <c r="AO39" s="34"/>
      <c r="AP39" s="34"/>
    </row>
    <row r="40" spans="1:44" s="37" customFormat="1" ht="27.75" customHeight="1" x14ac:dyDescent="0.3">
      <c r="A40" s="192" t="s">
        <v>150</v>
      </c>
      <c r="B40" s="193"/>
      <c r="C40" s="193"/>
      <c r="D40" s="193"/>
      <c r="E40" s="193"/>
      <c r="F40" s="193"/>
      <c r="G40" s="193"/>
      <c r="H40" s="193"/>
      <c r="I40" s="193"/>
      <c r="J40" s="193"/>
      <c r="K40" s="194"/>
      <c r="L40" s="75" t="str">
        <f>IF(COUNTA(G9:G24,G27:G34)=0,"",IF(COUNTA(G27:G28&gt;=2),IF(IF(G27&lt;&gt;"",J27/E27,0)+IF(G28&lt;&gt;"",J28/E28,0)&gt;1,"X","O"),"-"))</f>
        <v/>
      </c>
      <c r="N40" s="38"/>
      <c r="Q40" s="34"/>
      <c r="R40" s="34"/>
      <c r="U40" s="34"/>
      <c r="V40" s="34"/>
      <c r="W40" s="34"/>
      <c r="X40" s="34"/>
      <c r="Y40" s="34"/>
      <c r="Z40" s="34"/>
      <c r="AA40" s="34"/>
      <c r="AC40" s="38"/>
      <c r="AF40" s="34"/>
      <c r="AG40" s="34"/>
      <c r="AJ40" s="34"/>
      <c r="AK40" s="34"/>
      <c r="AL40" s="34"/>
      <c r="AM40" s="34"/>
      <c r="AN40" s="34"/>
      <c r="AO40" s="34"/>
      <c r="AP40" s="34"/>
    </row>
    <row r="41" spans="1:44" s="37" customFormat="1" ht="27.75" customHeight="1" thickBot="1" x14ac:dyDescent="0.35">
      <c r="A41" s="192" t="s">
        <v>130</v>
      </c>
      <c r="B41" s="193"/>
      <c r="C41" s="193"/>
      <c r="D41" s="193"/>
      <c r="E41" s="193"/>
      <c r="F41" s="193"/>
      <c r="G41" s="193"/>
      <c r="H41" s="193"/>
      <c r="I41" s="193"/>
      <c r="J41" s="193"/>
      <c r="K41" s="194"/>
      <c r="L41" s="76" t="str">
        <f>IF(COUNTA(G9:G24,G27:G34)=0,"",IF(AND(OR(D3=3,D3=4),OR(F3=3,F3=4)),"O","X"))</f>
        <v/>
      </c>
      <c r="N41" s="38"/>
      <c r="Q41" s="34"/>
      <c r="R41" s="34"/>
      <c r="U41" s="34"/>
      <c r="V41" s="34"/>
      <c r="W41" s="34"/>
      <c r="X41" s="34"/>
      <c r="Y41" s="34"/>
      <c r="Z41" s="34"/>
      <c r="AA41" s="34"/>
      <c r="AC41" s="38"/>
      <c r="AF41" s="34"/>
      <c r="AG41" s="34"/>
      <c r="AJ41" s="34"/>
      <c r="AK41" s="34"/>
      <c r="AL41" s="34"/>
      <c r="AM41" s="34"/>
      <c r="AN41" s="34"/>
      <c r="AO41" s="34"/>
      <c r="AP41" s="34"/>
    </row>
    <row r="42" spans="1:44" s="37" customFormat="1" ht="14.25" thickTop="1" x14ac:dyDescent="0.3">
      <c r="B42" s="34"/>
      <c r="F42" s="34"/>
      <c r="G42" s="34"/>
      <c r="H42" s="34"/>
      <c r="I42" s="34"/>
      <c r="J42" s="34"/>
      <c r="K42" s="34"/>
      <c r="L42" s="34"/>
      <c r="N42" s="38"/>
      <c r="Q42" s="34"/>
      <c r="R42" s="34"/>
      <c r="U42" s="34"/>
      <c r="V42" s="34"/>
      <c r="W42" s="34"/>
      <c r="X42" s="34"/>
      <c r="Y42" s="34"/>
      <c r="Z42" s="34"/>
      <c r="AA42" s="34"/>
      <c r="AC42" s="38"/>
      <c r="AF42" s="34"/>
      <c r="AG42" s="34"/>
      <c r="AJ42" s="34"/>
      <c r="AK42" s="34"/>
      <c r="AL42" s="34"/>
      <c r="AM42" s="34"/>
      <c r="AN42" s="34"/>
    </row>
    <row r="43" spans="1:44" s="37" customFormat="1" ht="13.5" x14ac:dyDescent="0.3">
      <c r="B43" s="34"/>
      <c r="F43" s="34"/>
      <c r="G43" s="34"/>
      <c r="H43" s="34"/>
      <c r="I43" s="34"/>
      <c r="J43" s="34"/>
      <c r="K43" s="34"/>
      <c r="L43" s="34"/>
      <c r="N43" s="38"/>
      <c r="Q43" s="34"/>
      <c r="R43" s="34"/>
      <c r="U43" s="34"/>
      <c r="V43" s="34"/>
      <c r="W43" s="34"/>
      <c r="X43" s="34"/>
      <c r="Y43" s="34"/>
      <c r="Z43" s="34"/>
      <c r="AA43" s="34"/>
      <c r="AC43" s="38"/>
      <c r="AF43" s="34"/>
      <c r="AG43" s="34"/>
      <c r="AJ43" s="34"/>
      <c r="AK43" s="34"/>
      <c r="AL43" s="34"/>
      <c r="AM43" s="34"/>
      <c r="AN43" s="34"/>
    </row>
    <row r="44" spans="1:44" s="37" customFormat="1" ht="13.5" x14ac:dyDescent="0.3">
      <c r="B44" s="34"/>
      <c r="F44" s="34"/>
      <c r="G44" s="34"/>
      <c r="H44" s="34"/>
      <c r="I44" s="34"/>
      <c r="J44" s="34"/>
      <c r="K44" s="34"/>
      <c r="L44" s="34"/>
      <c r="N44" s="38"/>
      <c r="Q44" s="34"/>
      <c r="R44" s="34"/>
      <c r="U44" s="34"/>
      <c r="V44" s="34"/>
      <c r="W44" s="34"/>
      <c r="X44" s="34"/>
      <c r="Y44" s="34"/>
      <c r="Z44" s="34"/>
      <c r="AA44" s="34"/>
      <c r="AC44" s="38"/>
      <c r="AF44" s="34"/>
      <c r="AG44" s="34"/>
      <c r="AJ44" s="34"/>
      <c r="AK44" s="34"/>
      <c r="AL44" s="34"/>
      <c r="AM44" s="34"/>
      <c r="AN44" s="34"/>
    </row>
    <row r="45" spans="1:44" s="37" customFormat="1" ht="13.5" x14ac:dyDescent="0.3">
      <c r="B45" s="34"/>
      <c r="F45" s="34"/>
      <c r="G45" s="34"/>
      <c r="H45" s="34"/>
      <c r="I45" s="34"/>
      <c r="J45" s="34"/>
      <c r="K45" s="34"/>
      <c r="L45" s="34"/>
      <c r="N45" s="38"/>
      <c r="Q45" s="34"/>
      <c r="R45" s="34"/>
      <c r="U45" s="34"/>
      <c r="V45" s="34"/>
      <c r="W45" s="34"/>
      <c r="X45" s="34"/>
      <c r="Y45" s="34"/>
      <c r="Z45" s="34"/>
      <c r="AA45" s="34"/>
      <c r="AC45" s="38"/>
      <c r="AF45" s="34"/>
      <c r="AG45" s="34"/>
      <c r="AJ45" s="34"/>
      <c r="AK45" s="34"/>
      <c r="AL45" s="34"/>
      <c r="AM45" s="34"/>
      <c r="AN45" s="34"/>
    </row>
    <row r="46" spans="1:44" s="37" customFormat="1" ht="13.5" x14ac:dyDescent="0.3">
      <c r="B46" s="34"/>
      <c r="F46" s="34"/>
      <c r="G46" s="34"/>
      <c r="H46" s="34"/>
      <c r="I46" s="34"/>
      <c r="J46" s="34"/>
      <c r="K46" s="34"/>
      <c r="L46" s="34"/>
      <c r="N46" s="38"/>
      <c r="Q46" s="34"/>
      <c r="R46" s="34"/>
      <c r="U46" s="34"/>
      <c r="V46" s="34"/>
      <c r="W46" s="34"/>
      <c r="X46" s="34"/>
      <c r="Y46" s="34"/>
      <c r="Z46" s="34"/>
      <c r="AA46" s="34"/>
      <c r="AC46" s="38"/>
      <c r="AF46" s="34"/>
      <c r="AG46" s="34"/>
      <c r="AJ46" s="34"/>
      <c r="AK46" s="34"/>
      <c r="AL46" s="34"/>
      <c r="AM46" s="34"/>
      <c r="AN46" s="34"/>
    </row>
    <row r="47" spans="1:44" s="37" customFormat="1" ht="13.5" x14ac:dyDescent="0.3">
      <c r="B47" s="34"/>
      <c r="F47" s="34"/>
      <c r="G47" s="34"/>
      <c r="H47" s="34"/>
      <c r="I47" s="34"/>
      <c r="J47" s="34"/>
      <c r="K47" s="34"/>
      <c r="L47" s="34"/>
      <c r="N47" s="38"/>
      <c r="Q47" s="34"/>
      <c r="R47" s="34"/>
      <c r="U47" s="34"/>
      <c r="V47" s="34"/>
      <c r="W47" s="34"/>
      <c r="X47" s="34"/>
      <c r="Y47" s="34"/>
      <c r="Z47" s="34"/>
      <c r="AA47" s="34"/>
      <c r="AC47" s="38"/>
      <c r="AF47" s="34"/>
      <c r="AG47" s="34"/>
      <c r="AJ47" s="34"/>
      <c r="AK47" s="34"/>
      <c r="AL47" s="34"/>
      <c r="AM47" s="34"/>
      <c r="AN47" s="34"/>
    </row>
    <row r="48" spans="1:44" s="37" customFormat="1" ht="13.5" x14ac:dyDescent="0.3">
      <c r="B48" s="34"/>
      <c r="F48" s="34"/>
      <c r="G48" s="34"/>
      <c r="H48" s="34"/>
      <c r="I48" s="34"/>
      <c r="J48" s="34"/>
      <c r="K48" s="34"/>
      <c r="L48" s="34"/>
      <c r="N48" s="38"/>
      <c r="Q48" s="34"/>
      <c r="R48" s="34"/>
      <c r="U48" s="34"/>
      <c r="V48" s="34"/>
      <c r="W48" s="34"/>
      <c r="X48" s="34"/>
      <c r="Y48" s="34"/>
      <c r="Z48" s="34"/>
      <c r="AA48" s="34"/>
      <c r="AC48" s="38"/>
      <c r="AF48" s="34"/>
      <c r="AG48" s="34"/>
      <c r="AJ48" s="34"/>
      <c r="AK48" s="34"/>
      <c r="AL48" s="34"/>
      <c r="AM48" s="34"/>
      <c r="AN48" s="34"/>
    </row>
    <row r="49" spans="2:40" s="37" customFormat="1" ht="13.5" x14ac:dyDescent="0.3">
      <c r="B49" s="34"/>
      <c r="F49" s="34"/>
      <c r="G49" s="34"/>
      <c r="H49" s="34"/>
      <c r="I49" s="34"/>
      <c r="J49" s="34"/>
      <c r="K49" s="34"/>
      <c r="L49" s="34"/>
      <c r="N49" s="38"/>
      <c r="Q49" s="34"/>
      <c r="R49" s="34"/>
      <c r="U49" s="34"/>
      <c r="V49" s="34"/>
      <c r="W49" s="34"/>
      <c r="X49" s="34"/>
      <c r="Y49" s="34"/>
      <c r="Z49" s="34"/>
      <c r="AA49" s="34"/>
      <c r="AC49" s="38"/>
      <c r="AF49" s="34"/>
      <c r="AG49" s="34"/>
      <c r="AJ49" s="34"/>
      <c r="AK49" s="34"/>
      <c r="AL49" s="34"/>
      <c r="AM49" s="34"/>
      <c r="AN49" s="34"/>
    </row>
    <row r="50" spans="2:40" s="37" customFormat="1" ht="13.5" x14ac:dyDescent="0.3">
      <c r="B50" s="34"/>
      <c r="F50" s="34"/>
      <c r="G50" s="34"/>
      <c r="H50" s="34"/>
      <c r="I50" s="34"/>
      <c r="J50" s="34"/>
      <c r="K50" s="34"/>
      <c r="L50" s="34"/>
      <c r="N50" s="38"/>
      <c r="Q50" s="34"/>
      <c r="R50" s="34"/>
      <c r="U50" s="34"/>
      <c r="V50" s="34"/>
      <c r="W50" s="34"/>
      <c r="X50" s="34"/>
      <c r="Y50" s="34"/>
      <c r="Z50" s="34"/>
      <c r="AA50" s="34"/>
      <c r="AC50" s="38"/>
      <c r="AF50" s="34"/>
      <c r="AG50" s="34"/>
      <c r="AJ50" s="34"/>
      <c r="AK50" s="34"/>
      <c r="AL50" s="34"/>
      <c r="AM50" s="34"/>
      <c r="AN50" s="34"/>
    </row>
    <row r="51" spans="2:40" s="37" customFormat="1" ht="13.5" x14ac:dyDescent="0.3">
      <c r="B51" s="34"/>
      <c r="F51" s="34"/>
      <c r="G51" s="34"/>
      <c r="H51" s="34"/>
      <c r="I51" s="34"/>
      <c r="J51" s="34"/>
      <c r="K51" s="34"/>
      <c r="L51" s="34"/>
      <c r="N51" s="38"/>
      <c r="Q51" s="34"/>
      <c r="R51" s="34"/>
      <c r="U51" s="34"/>
      <c r="V51" s="34"/>
      <c r="W51" s="34"/>
      <c r="X51" s="34"/>
      <c r="Y51" s="34"/>
      <c r="Z51" s="34"/>
      <c r="AA51" s="34"/>
      <c r="AC51" s="38"/>
      <c r="AF51" s="34"/>
      <c r="AG51" s="34"/>
      <c r="AJ51" s="34"/>
      <c r="AK51" s="34"/>
      <c r="AL51" s="34"/>
      <c r="AM51" s="34"/>
      <c r="AN51" s="34"/>
    </row>
    <row r="52" spans="2:40" s="37" customFormat="1" ht="13.5" x14ac:dyDescent="0.3">
      <c r="B52" s="34"/>
      <c r="F52" s="34"/>
      <c r="G52" s="34"/>
      <c r="H52" s="34"/>
      <c r="I52" s="34"/>
      <c r="J52" s="34"/>
      <c r="K52" s="34"/>
      <c r="L52" s="34"/>
      <c r="N52" s="38"/>
      <c r="Q52" s="34"/>
      <c r="R52" s="34"/>
      <c r="U52" s="34"/>
      <c r="V52" s="34"/>
      <c r="W52" s="34"/>
      <c r="X52" s="34"/>
      <c r="Y52" s="34"/>
      <c r="Z52" s="34"/>
      <c r="AA52" s="34"/>
      <c r="AC52" s="38"/>
      <c r="AF52" s="34"/>
      <c r="AG52" s="34"/>
      <c r="AJ52" s="34"/>
      <c r="AK52" s="34"/>
      <c r="AL52" s="34"/>
      <c r="AM52" s="34"/>
      <c r="AN52" s="34"/>
    </row>
    <row r="53" spans="2:40" s="37" customFormat="1" ht="13.5" x14ac:dyDescent="0.3">
      <c r="B53" s="34"/>
      <c r="F53" s="34"/>
      <c r="G53" s="34"/>
      <c r="H53" s="34"/>
      <c r="I53" s="34"/>
      <c r="J53" s="34"/>
      <c r="K53" s="34"/>
      <c r="L53" s="34"/>
      <c r="N53" s="38"/>
      <c r="Q53" s="34"/>
      <c r="R53" s="34"/>
      <c r="U53" s="34"/>
      <c r="V53" s="34"/>
      <c r="W53" s="34"/>
      <c r="X53" s="34"/>
      <c r="Y53" s="34"/>
      <c r="Z53" s="34"/>
      <c r="AA53" s="34"/>
      <c r="AC53" s="38"/>
      <c r="AF53" s="34"/>
      <c r="AG53" s="34"/>
      <c r="AJ53" s="34"/>
      <c r="AK53" s="34"/>
      <c r="AL53" s="34"/>
      <c r="AM53" s="34"/>
      <c r="AN53" s="34"/>
    </row>
    <row r="54" spans="2:40" s="37" customFormat="1" ht="13.5" x14ac:dyDescent="0.3">
      <c r="B54" s="34"/>
      <c r="F54" s="34"/>
      <c r="G54" s="34"/>
      <c r="H54" s="34"/>
      <c r="I54" s="34"/>
      <c r="J54" s="34"/>
      <c r="K54" s="34"/>
      <c r="L54" s="34"/>
      <c r="N54" s="38"/>
      <c r="Q54" s="34"/>
      <c r="R54" s="34"/>
      <c r="U54" s="34"/>
      <c r="V54" s="34"/>
      <c r="W54" s="34"/>
      <c r="X54" s="34"/>
      <c r="Y54" s="34"/>
      <c r="Z54" s="34"/>
      <c r="AA54" s="34"/>
      <c r="AC54" s="38"/>
      <c r="AF54" s="34"/>
      <c r="AG54" s="34"/>
      <c r="AJ54" s="34"/>
      <c r="AK54" s="34"/>
      <c r="AL54" s="34"/>
      <c r="AM54" s="34"/>
      <c r="AN54" s="34"/>
    </row>
    <row r="55" spans="2:40" s="37" customFormat="1" ht="13.5" x14ac:dyDescent="0.3">
      <c r="B55" s="34"/>
      <c r="F55" s="34"/>
      <c r="G55" s="34"/>
      <c r="H55" s="34"/>
      <c r="I55" s="34"/>
      <c r="J55" s="34"/>
      <c r="K55" s="34"/>
      <c r="L55" s="34"/>
      <c r="N55" s="38"/>
      <c r="Q55" s="34"/>
      <c r="R55" s="34"/>
      <c r="U55" s="34"/>
      <c r="V55" s="34"/>
      <c r="W55" s="34"/>
      <c r="X55" s="34"/>
      <c r="Y55" s="34"/>
      <c r="Z55" s="34"/>
      <c r="AA55" s="34"/>
      <c r="AC55" s="38"/>
      <c r="AF55" s="34"/>
      <c r="AG55" s="34"/>
      <c r="AJ55" s="34"/>
      <c r="AK55" s="34"/>
      <c r="AL55" s="34"/>
      <c r="AM55" s="34"/>
      <c r="AN55" s="34"/>
    </row>
    <row r="56" spans="2:40" s="37" customFormat="1" ht="13.5" x14ac:dyDescent="0.3">
      <c r="B56" s="34"/>
      <c r="F56" s="34"/>
      <c r="G56" s="34"/>
      <c r="H56" s="34"/>
      <c r="I56" s="34"/>
      <c r="J56" s="34"/>
      <c r="K56" s="34"/>
      <c r="L56" s="34"/>
      <c r="N56" s="38"/>
      <c r="Q56" s="34"/>
      <c r="R56" s="34"/>
      <c r="U56" s="34"/>
      <c r="V56" s="34"/>
      <c r="W56" s="34"/>
      <c r="X56" s="34"/>
      <c r="Y56" s="34"/>
      <c r="Z56" s="34"/>
      <c r="AA56" s="34"/>
      <c r="AC56" s="38"/>
      <c r="AF56" s="34"/>
      <c r="AG56" s="34"/>
      <c r="AJ56" s="34"/>
      <c r="AK56" s="34"/>
      <c r="AL56" s="34"/>
      <c r="AM56" s="34"/>
      <c r="AN56" s="34"/>
    </row>
    <row r="57" spans="2:40" s="37" customFormat="1" ht="13.5" x14ac:dyDescent="0.3">
      <c r="B57" s="34"/>
      <c r="F57" s="34"/>
      <c r="G57" s="34"/>
      <c r="H57" s="34"/>
      <c r="I57" s="34"/>
      <c r="J57" s="34"/>
      <c r="K57" s="34"/>
      <c r="L57" s="34"/>
      <c r="N57" s="38"/>
      <c r="Q57" s="34"/>
      <c r="R57" s="34"/>
      <c r="U57" s="34"/>
      <c r="V57" s="34"/>
      <c r="W57" s="34"/>
      <c r="X57" s="34"/>
      <c r="Y57" s="34"/>
      <c r="Z57" s="34"/>
      <c r="AA57" s="34"/>
      <c r="AC57" s="38"/>
      <c r="AF57" s="34"/>
      <c r="AG57" s="34"/>
      <c r="AJ57" s="34"/>
      <c r="AK57" s="34"/>
      <c r="AL57" s="34"/>
      <c r="AM57" s="34"/>
      <c r="AN57" s="34"/>
    </row>
    <row r="58" spans="2:40" s="37" customFormat="1" ht="13.5" x14ac:dyDescent="0.3">
      <c r="B58" s="34"/>
      <c r="F58" s="34"/>
      <c r="G58" s="34"/>
      <c r="H58" s="34"/>
      <c r="I58" s="34"/>
      <c r="J58" s="34"/>
      <c r="K58" s="34"/>
      <c r="L58" s="34"/>
      <c r="N58" s="38"/>
      <c r="Q58" s="34"/>
      <c r="R58" s="34"/>
      <c r="U58" s="34"/>
      <c r="V58" s="34"/>
      <c r="W58" s="34"/>
      <c r="X58" s="34"/>
      <c r="Y58" s="34"/>
      <c r="Z58" s="34"/>
      <c r="AA58" s="34"/>
      <c r="AC58" s="38"/>
      <c r="AF58" s="34"/>
      <c r="AG58" s="34"/>
      <c r="AJ58" s="34"/>
      <c r="AK58" s="34"/>
      <c r="AL58" s="34"/>
      <c r="AM58" s="34"/>
      <c r="AN58" s="34"/>
    </row>
    <row r="59" spans="2:40" s="37" customFormat="1" ht="13.5" x14ac:dyDescent="0.3">
      <c r="B59" s="34"/>
      <c r="F59" s="34"/>
      <c r="G59" s="34"/>
      <c r="H59" s="34"/>
      <c r="I59" s="34"/>
      <c r="J59" s="34"/>
      <c r="K59" s="34"/>
      <c r="L59" s="34"/>
      <c r="N59" s="38"/>
      <c r="Q59" s="34"/>
      <c r="R59" s="34"/>
      <c r="U59" s="34"/>
      <c r="V59" s="34"/>
      <c r="W59" s="34"/>
      <c r="X59" s="34"/>
      <c r="Y59" s="34"/>
      <c r="Z59" s="34"/>
      <c r="AA59" s="34"/>
      <c r="AC59" s="38"/>
      <c r="AF59" s="34"/>
      <c r="AG59" s="34"/>
      <c r="AJ59" s="34"/>
      <c r="AK59" s="34"/>
      <c r="AL59" s="34"/>
      <c r="AM59" s="34"/>
      <c r="AN59" s="34"/>
    </row>
    <row r="60" spans="2:40" s="37" customFormat="1" ht="13.5" x14ac:dyDescent="0.3">
      <c r="B60" s="34"/>
      <c r="F60" s="34"/>
      <c r="G60" s="34"/>
      <c r="H60" s="34"/>
      <c r="I60" s="34"/>
      <c r="J60" s="34"/>
      <c r="K60" s="34"/>
      <c r="L60" s="34"/>
      <c r="N60" s="38"/>
      <c r="Q60" s="34"/>
      <c r="R60" s="34"/>
      <c r="U60" s="34"/>
      <c r="V60" s="34"/>
      <c r="W60" s="34"/>
      <c r="X60" s="34"/>
      <c r="Y60" s="34"/>
      <c r="Z60" s="34"/>
      <c r="AA60" s="34"/>
      <c r="AC60" s="38"/>
      <c r="AF60" s="34"/>
      <c r="AG60" s="34"/>
      <c r="AJ60" s="34"/>
      <c r="AK60" s="34"/>
      <c r="AL60" s="34"/>
      <c r="AM60" s="34"/>
      <c r="AN60" s="34"/>
    </row>
    <row r="61" spans="2:40" s="37" customFormat="1" ht="13.5" x14ac:dyDescent="0.3">
      <c r="B61" s="34"/>
      <c r="F61" s="34"/>
      <c r="G61" s="34"/>
      <c r="H61" s="34"/>
      <c r="I61" s="34"/>
      <c r="J61" s="34"/>
      <c r="K61" s="34"/>
      <c r="L61" s="34"/>
      <c r="N61" s="38"/>
      <c r="Q61" s="34"/>
      <c r="R61" s="34"/>
      <c r="U61" s="34"/>
      <c r="V61" s="34"/>
      <c r="W61" s="34"/>
      <c r="X61" s="34"/>
      <c r="Y61" s="34"/>
      <c r="Z61" s="34"/>
      <c r="AA61" s="34"/>
      <c r="AC61" s="38"/>
      <c r="AF61" s="34"/>
      <c r="AG61" s="34"/>
      <c r="AJ61" s="34"/>
      <c r="AK61" s="34"/>
      <c r="AL61" s="34"/>
      <c r="AM61" s="34"/>
      <c r="AN61" s="34"/>
    </row>
    <row r="62" spans="2:40" s="37" customFormat="1" ht="13.5" x14ac:dyDescent="0.3">
      <c r="B62" s="34"/>
      <c r="F62" s="34"/>
      <c r="G62" s="34"/>
      <c r="H62" s="34"/>
      <c r="I62" s="34"/>
      <c r="J62" s="34"/>
      <c r="K62" s="34"/>
      <c r="L62" s="34"/>
      <c r="N62" s="38"/>
      <c r="Q62" s="34"/>
      <c r="R62" s="34"/>
      <c r="U62" s="34"/>
      <c r="V62" s="34"/>
      <c r="W62" s="34"/>
      <c r="X62" s="34"/>
      <c r="Y62" s="34"/>
      <c r="Z62" s="34"/>
      <c r="AA62" s="34"/>
      <c r="AC62" s="38"/>
      <c r="AF62" s="34"/>
      <c r="AG62" s="34"/>
      <c r="AJ62" s="34"/>
      <c r="AK62" s="34"/>
      <c r="AL62" s="34"/>
      <c r="AM62" s="34"/>
      <c r="AN62" s="34"/>
    </row>
    <row r="63" spans="2:40" s="37" customFormat="1" ht="13.5" x14ac:dyDescent="0.3">
      <c r="B63" s="34"/>
      <c r="F63" s="34"/>
      <c r="G63" s="34"/>
      <c r="H63" s="34"/>
      <c r="I63" s="34"/>
      <c r="J63" s="34"/>
      <c r="K63" s="34"/>
      <c r="L63" s="34"/>
      <c r="N63" s="38"/>
      <c r="Q63" s="34"/>
      <c r="R63" s="34"/>
      <c r="U63" s="34"/>
      <c r="V63" s="34"/>
      <c r="W63" s="34"/>
      <c r="X63" s="34"/>
      <c r="Y63" s="34"/>
      <c r="Z63" s="34"/>
      <c r="AA63" s="34"/>
      <c r="AC63" s="38"/>
      <c r="AF63" s="34"/>
      <c r="AG63" s="34"/>
      <c r="AJ63" s="34"/>
      <c r="AK63" s="34"/>
      <c r="AL63" s="34"/>
      <c r="AM63" s="34"/>
      <c r="AN63" s="34"/>
    </row>
    <row r="64" spans="2:40" s="37" customFormat="1" ht="13.5" x14ac:dyDescent="0.3">
      <c r="B64" s="34"/>
      <c r="F64" s="34"/>
      <c r="G64" s="34"/>
      <c r="H64" s="34"/>
      <c r="I64" s="34"/>
      <c r="J64" s="34"/>
      <c r="K64" s="34"/>
      <c r="L64" s="34"/>
      <c r="N64" s="38"/>
      <c r="Q64" s="34"/>
      <c r="R64" s="34"/>
      <c r="U64" s="34"/>
      <c r="V64" s="34"/>
      <c r="W64" s="34"/>
      <c r="X64" s="34"/>
      <c r="Y64" s="34"/>
      <c r="Z64" s="34"/>
      <c r="AA64" s="34"/>
      <c r="AC64" s="38"/>
      <c r="AF64" s="34"/>
      <c r="AG64" s="34"/>
      <c r="AJ64" s="34"/>
      <c r="AK64" s="34"/>
      <c r="AL64" s="34"/>
      <c r="AM64" s="34"/>
      <c r="AN64" s="34"/>
    </row>
    <row r="65" spans="2:40" s="37" customFormat="1" ht="13.5" x14ac:dyDescent="0.3">
      <c r="B65" s="34"/>
      <c r="F65" s="34"/>
      <c r="G65" s="34"/>
      <c r="H65" s="34"/>
      <c r="I65" s="34"/>
      <c r="J65" s="34"/>
      <c r="K65" s="34"/>
      <c r="L65" s="34"/>
      <c r="N65" s="38"/>
      <c r="Q65" s="34"/>
      <c r="R65" s="34"/>
      <c r="U65" s="34"/>
      <c r="V65" s="34"/>
      <c r="W65" s="34"/>
      <c r="X65" s="34"/>
      <c r="Y65" s="34"/>
      <c r="Z65" s="34"/>
      <c r="AA65" s="34"/>
      <c r="AC65" s="38"/>
      <c r="AF65" s="34"/>
      <c r="AG65" s="34"/>
      <c r="AJ65" s="34"/>
      <c r="AK65" s="34"/>
      <c r="AL65" s="34"/>
      <c r="AM65" s="34"/>
      <c r="AN65" s="34"/>
    </row>
    <row r="66" spans="2:40" s="37" customFormat="1" ht="13.5" x14ac:dyDescent="0.3">
      <c r="B66" s="34"/>
      <c r="F66" s="34"/>
      <c r="G66" s="34"/>
      <c r="H66" s="34"/>
      <c r="I66" s="34"/>
      <c r="J66" s="34"/>
      <c r="K66" s="34"/>
      <c r="L66" s="34"/>
      <c r="N66" s="38"/>
      <c r="Q66" s="34"/>
      <c r="R66" s="34"/>
      <c r="U66" s="34"/>
      <c r="V66" s="34"/>
      <c r="W66" s="34"/>
      <c r="X66" s="34"/>
      <c r="Y66" s="34"/>
      <c r="Z66" s="34"/>
      <c r="AA66" s="34"/>
      <c r="AC66" s="38"/>
      <c r="AF66" s="34"/>
      <c r="AG66" s="34"/>
      <c r="AJ66" s="34"/>
      <c r="AK66" s="34"/>
      <c r="AL66" s="34"/>
      <c r="AM66" s="34"/>
      <c r="AN66" s="34"/>
    </row>
    <row r="67" spans="2:40" s="37" customFormat="1" ht="13.5" x14ac:dyDescent="0.3">
      <c r="B67" s="34"/>
      <c r="F67" s="34"/>
      <c r="G67" s="34"/>
      <c r="H67" s="34"/>
      <c r="I67" s="34"/>
      <c r="J67" s="34"/>
      <c r="K67" s="34"/>
      <c r="L67" s="34"/>
      <c r="N67" s="38"/>
      <c r="Q67" s="34"/>
      <c r="R67" s="34"/>
      <c r="U67" s="34"/>
      <c r="V67" s="34"/>
      <c r="W67" s="34"/>
      <c r="X67" s="34"/>
      <c r="Y67" s="34"/>
      <c r="Z67" s="34"/>
      <c r="AA67" s="34"/>
      <c r="AC67" s="38"/>
      <c r="AF67" s="34"/>
      <c r="AG67" s="34"/>
      <c r="AJ67" s="34"/>
      <c r="AK67" s="34"/>
      <c r="AL67" s="34"/>
      <c r="AM67" s="34"/>
      <c r="AN67" s="34"/>
    </row>
    <row r="68" spans="2:40" s="37" customFormat="1" ht="13.5" x14ac:dyDescent="0.3">
      <c r="B68" s="34"/>
      <c r="F68" s="34"/>
      <c r="G68" s="34"/>
      <c r="H68" s="34"/>
      <c r="I68" s="34"/>
      <c r="J68" s="34"/>
      <c r="K68" s="34"/>
      <c r="L68" s="34"/>
      <c r="N68" s="38"/>
      <c r="Q68" s="34"/>
      <c r="R68" s="34"/>
      <c r="U68" s="34"/>
      <c r="V68" s="34"/>
      <c r="W68" s="34"/>
      <c r="X68" s="34"/>
      <c r="Y68" s="34"/>
      <c r="Z68" s="34"/>
      <c r="AA68" s="34"/>
      <c r="AC68" s="38"/>
      <c r="AF68" s="34"/>
      <c r="AG68" s="34"/>
      <c r="AJ68" s="34"/>
      <c r="AK68" s="34"/>
      <c r="AL68" s="34"/>
      <c r="AM68" s="34"/>
      <c r="AN68" s="34"/>
    </row>
    <row r="69" spans="2:40" s="37" customFormat="1" ht="13.5" x14ac:dyDescent="0.3">
      <c r="B69" s="34"/>
      <c r="F69" s="34"/>
      <c r="G69" s="34"/>
      <c r="H69" s="34"/>
      <c r="I69" s="34"/>
      <c r="J69" s="34"/>
      <c r="K69" s="34"/>
      <c r="L69" s="34"/>
      <c r="N69" s="38"/>
      <c r="Q69" s="34"/>
      <c r="R69" s="34"/>
      <c r="U69" s="34"/>
      <c r="V69" s="34"/>
      <c r="W69" s="34"/>
      <c r="X69" s="34"/>
      <c r="Y69" s="34"/>
      <c r="Z69" s="34"/>
      <c r="AA69" s="34"/>
      <c r="AC69" s="38"/>
      <c r="AF69" s="34"/>
      <c r="AG69" s="34"/>
      <c r="AJ69" s="34"/>
      <c r="AK69" s="34"/>
      <c r="AL69" s="34"/>
      <c r="AM69" s="34"/>
      <c r="AN69" s="34"/>
    </row>
    <row r="70" spans="2:40" s="37" customFormat="1" ht="13.5" x14ac:dyDescent="0.3">
      <c r="B70" s="34"/>
      <c r="F70" s="34"/>
      <c r="G70" s="34"/>
      <c r="H70" s="34"/>
      <c r="I70" s="34"/>
      <c r="J70" s="34"/>
      <c r="K70" s="34"/>
      <c r="L70" s="34"/>
      <c r="N70" s="38"/>
      <c r="Q70" s="34"/>
      <c r="R70" s="34"/>
      <c r="U70" s="34"/>
      <c r="V70" s="34"/>
      <c r="W70" s="34"/>
      <c r="X70" s="34"/>
      <c r="Y70" s="34"/>
      <c r="Z70" s="34"/>
      <c r="AA70" s="34"/>
      <c r="AC70" s="38"/>
      <c r="AF70" s="34"/>
      <c r="AG70" s="34"/>
      <c r="AJ70" s="34"/>
      <c r="AK70" s="34"/>
      <c r="AL70" s="34"/>
      <c r="AM70" s="34"/>
      <c r="AN70" s="34"/>
    </row>
    <row r="71" spans="2:40" s="37" customFormat="1" ht="13.5" x14ac:dyDescent="0.3">
      <c r="B71" s="34"/>
      <c r="F71" s="34"/>
      <c r="G71" s="34"/>
      <c r="H71" s="34"/>
      <c r="I71" s="34"/>
      <c r="J71" s="34"/>
      <c r="K71" s="34"/>
      <c r="L71" s="34"/>
      <c r="N71" s="38"/>
      <c r="Q71" s="34"/>
      <c r="R71" s="34"/>
      <c r="U71" s="34"/>
      <c r="V71" s="34"/>
      <c r="W71" s="34"/>
      <c r="X71" s="34"/>
      <c r="Y71" s="34"/>
      <c r="Z71" s="34"/>
      <c r="AA71" s="34"/>
      <c r="AC71" s="38"/>
      <c r="AF71" s="34"/>
      <c r="AG71" s="34"/>
      <c r="AJ71" s="34"/>
      <c r="AK71" s="34"/>
      <c r="AL71" s="34"/>
      <c r="AM71" s="34"/>
      <c r="AN71" s="34"/>
    </row>
    <row r="72" spans="2:40" s="37" customFormat="1" ht="13.5" x14ac:dyDescent="0.3">
      <c r="B72" s="34"/>
      <c r="F72" s="34"/>
      <c r="G72" s="34"/>
      <c r="H72" s="34"/>
      <c r="I72" s="34"/>
      <c r="J72" s="34"/>
      <c r="K72" s="34"/>
      <c r="L72" s="34"/>
      <c r="N72" s="38"/>
      <c r="Q72" s="34"/>
      <c r="R72" s="34"/>
      <c r="U72" s="34"/>
      <c r="V72" s="34"/>
      <c r="W72" s="34"/>
      <c r="X72" s="34"/>
      <c r="Y72" s="34"/>
      <c r="Z72" s="34"/>
      <c r="AA72" s="34"/>
      <c r="AC72" s="38"/>
      <c r="AF72" s="34"/>
      <c r="AG72" s="34"/>
      <c r="AJ72" s="34"/>
      <c r="AK72" s="34"/>
      <c r="AL72" s="34"/>
      <c r="AM72" s="34"/>
      <c r="AN72" s="34"/>
    </row>
    <row r="73" spans="2:40" s="37" customFormat="1" ht="13.5" x14ac:dyDescent="0.3">
      <c r="B73" s="34"/>
      <c r="F73" s="34"/>
      <c r="G73" s="34"/>
      <c r="H73" s="34"/>
      <c r="I73" s="34"/>
      <c r="J73" s="34"/>
      <c r="K73" s="34"/>
      <c r="L73" s="34"/>
      <c r="N73" s="38"/>
      <c r="Q73" s="34"/>
      <c r="R73" s="34"/>
      <c r="U73" s="34"/>
      <c r="V73" s="34"/>
      <c r="W73" s="34"/>
      <c r="X73" s="34"/>
      <c r="Y73" s="34"/>
      <c r="Z73" s="34"/>
      <c r="AA73" s="34"/>
      <c r="AC73" s="38"/>
      <c r="AF73" s="34"/>
      <c r="AG73" s="34"/>
      <c r="AJ73" s="34"/>
      <c r="AK73" s="34"/>
      <c r="AL73" s="34"/>
      <c r="AM73" s="34"/>
      <c r="AN73" s="34"/>
    </row>
    <row r="74" spans="2:40" s="37" customFormat="1" ht="13.5" x14ac:dyDescent="0.3">
      <c r="B74" s="34"/>
      <c r="F74" s="34"/>
      <c r="G74" s="34"/>
      <c r="H74" s="34"/>
      <c r="I74" s="34"/>
      <c r="J74" s="34"/>
      <c r="K74" s="34"/>
      <c r="L74" s="34"/>
      <c r="N74" s="38"/>
      <c r="Q74" s="34"/>
      <c r="R74" s="34"/>
      <c r="U74" s="34"/>
      <c r="V74" s="34"/>
      <c r="W74" s="34"/>
      <c r="X74" s="34"/>
      <c r="Y74" s="34"/>
      <c r="Z74" s="34"/>
      <c r="AA74" s="34"/>
      <c r="AC74" s="38"/>
      <c r="AF74" s="34"/>
      <c r="AG74" s="34"/>
      <c r="AJ74" s="34"/>
      <c r="AK74" s="34"/>
      <c r="AL74" s="34"/>
      <c r="AM74" s="34"/>
      <c r="AN74" s="34"/>
    </row>
    <row r="75" spans="2:40" s="37" customFormat="1" ht="13.5" x14ac:dyDescent="0.3">
      <c r="B75" s="34"/>
      <c r="F75" s="34"/>
      <c r="G75" s="34"/>
      <c r="H75" s="34"/>
      <c r="I75" s="34"/>
      <c r="J75" s="34"/>
      <c r="K75" s="34"/>
      <c r="L75" s="34"/>
      <c r="N75" s="38"/>
      <c r="Q75" s="34"/>
      <c r="R75" s="34"/>
      <c r="U75" s="34"/>
      <c r="V75" s="34"/>
      <c r="W75" s="34"/>
      <c r="X75" s="34"/>
      <c r="Y75" s="34"/>
      <c r="Z75" s="34"/>
      <c r="AA75" s="34"/>
      <c r="AC75" s="38"/>
      <c r="AF75" s="34"/>
      <c r="AG75" s="34"/>
      <c r="AJ75" s="34"/>
      <c r="AK75" s="34"/>
      <c r="AL75" s="34"/>
      <c r="AM75" s="34"/>
      <c r="AN75" s="34"/>
    </row>
    <row r="76" spans="2:40" s="37" customFormat="1" ht="13.5" x14ac:dyDescent="0.3">
      <c r="B76" s="34"/>
      <c r="F76" s="34"/>
      <c r="G76" s="34"/>
      <c r="H76" s="34"/>
      <c r="I76" s="34"/>
      <c r="J76" s="34"/>
      <c r="K76" s="34"/>
      <c r="L76" s="34"/>
      <c r="N76" s="38"/>
      <c r="Q76" s="34"/>
      <c r="R76" s="34"/>
      <c r="U76" s="34"/>
      <c r="V76" s="34"/>
      <c r="W76" s="34"/>
      <c r="X76" s="34"/>
      <c r="Y76" s="34"/>
      <c r="Z76" s="34"/>
      <c r="AA76" s="34"/>
      <c r="AC76" s="38"/>
      <c r="AF76" s="34"/>
      <c r="AG76" s="34"/>
      <c r="AJ76" s="34"/>
      <c r="AK76" s="34"/>
      <c r="AL76" s="34"/>
      <c r="AM76" s="34"/>
      <c r="AN76" s="34"/>
    </row>
    <row r="77" spans="2:40" s="37" customFormat="1" ht="13.5" x14ac:dyDescent="0.3">
      <c r="B77" s="34"/>
      <c r="F77" s="34"/>
      <c r="G77" s="34"/>
      <c r="H77" s="34"/>
      <c r="I77" s="34"/>
      <c r="J77" s="34"/>
      <c r="K77" s="34"/>
      <c r="L77" s="34"/>
      <c r="N77" s="38"/>
      <c r="Q77" s="34"/>
      <c r="R77" s="34"/>
      <c r="U77" s="34"/>
      <c r="V77" s="34"/>
      <c r="W77" s="34"/>
      <c r="X77" s="34"/>
      <c r="Y77" s="34"/>
      <c r="Z77" s="34"/>
      <c r="AA77" s="34"/>
      <c r="AC77" s="38"/>
      <c r="AF77" s="34"/>
      <c r="AG77" s="34"/>
      <c r="AJ77" s="34"/>
      <c r="AK77" s="34"/>
      <c r="AL77" s="34"/>
      <c r="AM77" s="34"/>
      <c r="AN77" s="34"/>
    </row>
    <row r="78" spans="2:40" s="37" customFormat="1" ht="13.5" x14ac:dyDescent="0.3">
      <c r="B78" s="34"/>
      <c r="F78" s="34"/>
      <c r="G78" s="34"/>
      <c r="H78" s="34"/>
      <c r="I78" s="34"/>
      <c r="J78" s="34"/>
      <c r="K78" s="34"/>
      <c r="L78" s="34"/>
      <c r="N78" s="38"/>
      <c r="Q78" s="34"/>
      <c r="R78" s="34"/>
      <c r="U78" s="34"/>
      <c r="V78" s="34"/>
      <c r="W78" s="34"/>
      <c r="X78" s="34"/>
      <c r="Y78" s="34"/>
      <c r="Z78" s="34"/>
      <c r="AA78" s="34"/>
      <c r="AC78" s="38"/>
      <c r="AF78" s="34"/>
      <c r="AG78" s="34"/>
      <c r="AJ78" s="34"/>
      <c r="AK78" s="34"/>
      <c r="AL78" s="34"/>
      <c r="AM78" s="34"/>
      <c r="AN78" s="34"/>
    </row>
    <row r="79" spans="2:40" s="37" customFormat="1" ht="13.5" x14ac:dyDescent="0.3">
      <c r="B79" s="34"/>
      <c r="F79" s="34"/>
      <c r="G79" s="34"/>
      <c r="H79" s="34"/>
      <c r="I79" s="34"/>
      <c r="J79" s="34"/>
      <c r="K79" s="34"/>
      <c r="L79" s="34"/>
      <c r="N79" s="38"/>
      <c r="Q79" s="34"/>
      <c r="R79" s="34"/>
      <c r="U79" s="34"/>
      <c r="V79" s="34"/>
      <c r="W79" s="34"/>
      <c r="X79" s="34"/>
      <c r="Y79" s="34"/>
      <c r="Z79" s="34"/>
      <c r="AA79" s="34"/>
      <c r="AC79" s="38"/>
      <c r="AF79" s="34"/>
      <c r="AG79" s="34"/>
      <c r="AJ79" s="34"/>
      <c r="AK79" s="34"/>
      <c r="AL79" s="34"/>
      <c r="AM79" s="34"/>
      <c r="AN79" s="34"/>
    </row>
    <row r="80" spans="2:40" s="37" customFormat="1" ht="13.5" x14ac:dyDescent="0.3">
      <c r="B80" s="34"/>
      <c r="F80" s="34"/>
      <c r="G80" s="34"/>
      <c r="H80" s="34"/>
      <c r="I80" s="34"/>
      <c r="J80" s="34"/>
      <c r="K80" s="34"/>
      <c r="L80" s="34"/>
      <c r="N80" s="38"/>
      <c r="Q80" s="34"/>
      <c r="R80" s="34"/>
      <c r="U80" s="34"/>
      <c r="V80" s="34"/>
      <c r="W80" s="34"/>
      <c r="X80" s="34"/>
      <c r="Y80" s="34"/>
      <c r="Z80" s="34"/>
      <c r="AA80" s="34"/>
      <c r="AC80" s="38"/>
      <c r="AF80" s="34"/>
      <c r="AG80" s="34"/>
      <c r="AJ80" s="34"/>
      <c r="AK80" s="34"/>
      <c r="AL80" s="34"/>
      <c r="AM80" s="34"/>
      <c r="AN80" s="34"/>
    </row>
    <row r="81" spans="2:40" s="37" customFormat="1" ht="13.5" x14ac:dyDescent="0.3">
      <c r="B81" s="34"/>
      <c r="F81" s="34"/>
      <c r="G81" s="34"/>
      <c r="H81" s="34"/>
      <c r="I81" s="34"/>
      <c r="J81" s="34"/>
      <c r="K81" s="34"/>
      <c r="L81" s="34"/>
      <c r="N81" s="38"/>
      <c r="Q81" s="34"/>
      <c r="R81" s="34"/>
      <c r="U81" s="34"/>
      <c r="V81" s="34"/>
      <c r="W81" s="34"/>
      <c r="X81" s="34"/>
      <c r="Y81" s="34"/>
      <c r="Z81" s="34"/>
      <c r="AA81" s="34"/>
      <c r="AC81" s="38"/>
      <c r="AF81" s="34"/>
      <c r="AG81" s="34"/>
      <c r="AJ81" s="34"/>
      <c r="AK81" s="34"/>
      <c r="AL81" s="34"/>
      <c r="AM81" s="34"/>
      <c r="AN81" s="34"/>
    </row>
    <row r="82" spans="2:40" s="37" customFormat="1" ht="13.5" x14ac:dyDescent="0.3">
      <c r="B82" s="34"/>
      <c r="F82" s="34"/>
      <c r="G82" s="34"/>
      <c r="H82" s="34"/>
      <c r="I82" s="34"/>
      <c r="J82" s="34"/>
      <c r="K82" s="34"/>
      <c r="L82" s="34"/>
      <c r="N82" s="38"/>
      <c r="Q82" s="34"/>
      <c r="R82" s="34"/>
      <c r="U82" s="34"/>
      <c r="V82" s="34"/>
      <c r="W82" s="34"/>
      <c r="X82" s="34"/>
      <c r="Y82" s="34"/>
      <c r="Z82" s="34"/>
      <c r="AA82" s="34"/>
      <c r="AC82" s="38"/>
      <c r="AF82" s="34"/>
      <c r="AG82" s="34"/>
      <c r="AJ82" s="34"/>
      <c r="AK82" s="34"/>
      <c r="AL82" s="34"/>
      <c r="AM82" s="34"/>
      <c r="AN82" s="34"/>
    </row>
    <row r="83" spans="2:40" s="37" customFormat="1" ht="13.5" x14ac:dyDescent="0.3">
      <c r="B83" s="34"/>
      <c r="F83" s="34"/>
      <c r="G83" s="34"/>
      <c r="H83" s="34"/>
      <c r="I83" s="34"/>
      <c r="J83" s="34"/>
      <c r="K83" s="34"/>
      <c r="L83" s="34"/>
      <c r="N83" s="38"/>
      <c r="Q83" s="34"/>
      <c r="R83" s="34"/>
      <c r="U83" s="34"/>
      <c r="V83" s="34"/>
      <c r="W83" s="34"/>
      <c r="X83" s="34"/>
      <c r="Y83" s="34"/>
      <c r="Z83" s="34"/>
      <c r="AA83" s="34"/>
      <c r="AC83" s="38"/>
      <c r="AF83" s="34"/>
      <c r="AG83" s="34"/>
      <c r="AJ83" s="34"/>
      <c r="AK83" s="34"/>
      <c r="AL83" s="34"/>
      <c r="AM83" s="34"/>
      <c r="AN83" s="34"/>
    </row>
    <row r="84" spans="2:40" s="37" customFormat="1" ht="13.5" x14ac:dyDescent="0.3">
      <c r="B84" s="34"/>
      <c r="F84" s="34"/>
      <c r="G84" s="34"/>
      <c r="H84" s="34"/>
      <c r="I84" s="34"/>
      <c r="J84" s="34"/>
      <c r="K84" s="34"/>
      <c r="L84" s="34"/>
      <c r="N84" s="38"/>
      <c r="Q84" s="34"/>
      <c r="R84" s="34"/>
      <c r="U84" s="34"/>
      <c r="V84" s="34"/>
      <c r="W84" s="34"/>
      <c r="X84" s="34"/>
      <c r="Y84" s="34"/>
      <c r="Z84" s="34"/>
      <c r="AA84" s="34"/>
      <c r="AC84" s="38"/>
      <c r="AF84" s="34"/>
      <c r="AG84" s="34"/>
      <c r="AJ84" s="34"/>
      <c r="AK84" s="34"/>
      <c r="AL84" s="34"/>
      <c r="AM84" s="34"/>
      <c r="AN84" s="34"/>
    </row>
    <row r="85" spans="2:40" s="37" customFormat="1" ht="13.5" x14ac:dyDescent="0.3">
      <c r="B85" s="34"/>
      <c r="F85" s="34"/>
      <c r="G85" s="34"/>
      <c r="H85" s="34"/>
      <c r="I85" s="34"/>
      <c r="J85" s="34"/>
      <c r="K85" s="34"/>
      <c r="L85" s="34"/>
      <c r="N85" s="38"/>
      <c r="Q85" s="34"/>
      <c r="R85" s="34"/>
      <c r="U85" s="34"/>
      <c r="V85" s="34"/>
      <c r="W85" s="34"/>
      <c r="X85" s="34"/>
      <c r="Y85" s="34"/>
      <c r="Z85" s="34"/>
      <c r="AA85" s="34"/>
      <c r="AC85" s="38"/>
      <c r="AF85" s="34"/>
      <c r="AG85" s="34"/>
      <c r="AJ85" s="34"/>
      <c r="AK85" s="34"/>
      <c r="AL85" s="34"/>
      <c r="AM85" s="34"/>
      <c r="AN85" s="34"/>
    </row>
    <row r="86" spans="2:40" s="37" customFormat="1" ht="13.5" x14ac:dyDescent="0.3">
      <c r="B86" s="34"/>
      <c r="F86" s="34"/>
      <c r="G86" s="34"/>
      <c r="H86" s="34"/>
      <c r="I86" s="34"/>
      <c r="J86" s="34"/>
      <c r="K86" s="34"/>
      <c r="L86" s="34"/>
      <c r="N86" s="38"/>
      <c r="Q86" s="34"/>
      <c r="R86" s="34"/>
      <c r="U86" s="34"/>
      <c r="V86" s="34"/>
      <c r="W86" s="34"/>
      <c r="X86" s="34"/>
      <c r="Y86" s="34"/>
      <c r="Z86" s="34"/>
      <c r="AA86" s="34"/>
      <c r="AC86" s="38"/>
      <c r="AF86" s="34"/>
      <c r="AG86" s="34"/>
      <c r="AJ86" s="34"/>
      <c r="AK86" s="34"/>
      <c r="AL86" s="34"/>
      <c r="AM86" s="34"/>
      <c r="AN86" s="34"/>
    </row>
    <row r="87" spans="2:40" s="37" customFormat="1" ht="13.5" x14ac:dyDescent="0.3">
      <c r="B87" s="34"/>
      <c r="F87" s="34"/>
      <c r="G87" s="34"/>
      <c r="H87" s="34"/>
      <c r="I87" s="34"/>
      <c r="J87" s="34"/>
      <c r="K87" s="34"/>
      <c r="L87" s="34"/>
      <c r="N87" s="38"/>
      <c r="Q87" s="34"/>
      <c r="R87" s="34"/>
      <c r="U87" s="34"/>
      <c r="V87" s="34"/>
      <c r="W87" s="34"/>
      <c r="X87" s="34"/>
      <c r="Y87" s="34"/>
      <c r="Z87" s="34"/>
      <c r="AA87" s="34"/>
      <c r="AC87" s="38"/>
      <c r="AF87" s="34"/>
      <c r="AG87" s="34"/>
      <c r="AJ87" s="34"/>
      <c r="AK87" s="34"/>
      <c r="AL87" s="34"/>
      <c r="AM87" s="34"/>
      <c r="AN87" s="34"/>
    </row>
    <row r="88" spans="2:40" s="37" customFormat="1" ht="13.5" x14ac:dyDescent="0.3">
      <c r="B88" s="34"/>
      <c r="F88" s="34"/>
      <c r="G88" s="34"/>
      <c r="H88" s="34"/>
      <c r="I88" s="34"/>
      <c r="J88" s="34"/>
      <c r="K88" s="34"/>
      <c r="L88" s="34"/>
      <c r="N88" s="38"/>
      <c r="Q88" s="34"/>
      <c r="R88" s="34"/>
      <c r="U88" s="34"/>
      <c r="V88" s="34"/>
      <c r="W88" s="34"/>
      <c r="X88" s="34"/>
      <c r="Y88" s="34"/>
      <c r="Z88" s="34"/>
      <c r="AA88" s="34"/>
      <c r="AC88" s="38"/>
      <c r="AF88" s="34"/>
      <c r="AG88" s="34"/>
      <c r="AJ88" s="34"/>
      <c r="AK88" s="34"/>
      <c r="AL88" s="34"/>
      <c r="AM88" s="34"/>
      <c r="AN88" s="34"/>
    </row>
    <row r="89" spans="2:40" s="37" customFormat="1" ht="13.5" x14ac:dyDescent="0.3">
      <c r="B89" s="34"/>
      <c r="F89" s="34"/>
      <c r="G89" s="34"/>
      <c r="H89" s="34"/>
      <c r="I89" s="34"/>
      <c r="J89" s="34"/>
      <c r="K89" s="34"/>
      <c r="L89" s="34"/>
      <c r="N89" s="38"/>
      <c r="Q89" s="34"/>
      <c r="R89" s="34"/>
      <c r="U89" s="34"/>
      <c r="V89" s="34"/>
      <c r="W89" s="34"/>
      <c r="X89" s="34"/>
      <c r="Y89" s="34"/>
      <c r="Z89" s="34"/>
      <c r="AA89" s="34"/>
      <c r="AC89" s="38"/>
      <c r="AF89" s="34"/>
      <c r="AG89" s="34"/>
      <c r="AJ89" s="34"/>
      <c r="AK89" s="34"/>
      <c r="AL89" s="34"/>
      <c r="AM89" s="34"/>
      <c r="AN89" s="34"/>
    </row>
    <row r="90" spans="2:40" s="37" customFormat="1" ht="13.5" x14ac:dyDescent="0.3">
      <c r="B90" s="34"/>
      <c r="F90" s="34"/>
      <c r="G90" s="34"/>
      <c r="H90" s="34"/>
      <c r="I90" s="34"/>
      <c r="J90" s="34"/>
      <c r="K90" s="34"/>
      <c r="L90" s="34"/>
      <c r="N90" s="38"/>
      <c r="Q90" s="34"/>
      <c r="R90" s="34"/>
      <c r="U90" s="34"/>
      <c r="V90" s="34"/>
      <c r="W90" s="34"/>
      <c r="X90" s="34"/>
      <c r="Y90" s="34"/>
      <c r="Z90" s="34"/>
      <c r="AA90" s="34"/>
      <c r="AC90" s="38"/>
      <c r="AF90" s="34"/>
      <c r="AG90" s="34"/>
      <c r="AJ90" s="34"/>
      <c r="AK90" s="34"/>
      <c r="AL90" s="34"/>
      <c r="AM90" s="34"/>
      <c r="AN90" s="34"/>
    </row>
    <row r="91" spans="2:40" s="37" customFormat="1" ht="13.5" x14ac:dyDescent="0.3">
      <c r="B91" s="34"/>
      <c r="F91" s="34"/>
      <c r="G91" s="34"/>
      <c r="H91" s="34"/>
      <c r="I91" s="34"/>
      <c r="J91" s="34"/>
      <c r="K91" s="34"/>
      <c r="L91" s="34"/>
      <c r="N91" s="38"/>
      <c r="Q91" s="34"/>
      <c r="R91" s="34"/>
      <c r="U91" s="34"/>
      <c r="V91" s="34"/>
      <c r="W91" s="34"/>
      <c r="X91" s="34"/>
      <c r="Y91" s="34"/>
      <c r="Z91" s="34"/>
      <c r="AA91" s="34"/>
      <c r="AC91" s="38"/>
      <c r="AF91" s="34"/>
      <c r="AG91" s="34"/>
      <c r="AJ91" s="34"/>
      <c r="AK91" s="34"/>
      <c r="AL91" s="34"/>
      <c r="AM91" s="34"/>
      <c r="AN91" s="34"/>
    </row>
    <row r="92" spans="2:40" s="37" customFormat="1" ht="13.5" x14ac:dyDescent="0.3">
      <c r="B92" s="34"/>
      <c r="F92" s="34"/>
      <c r="G92" s="34"/>
      <c r="H92" s="34"/>
      <c r="I92" s="34"/>
      <c r="J92" s="34"/>
      <c r="K92" s="34"/>
      <c r="L92" s="34"/>
      <c r="N92" s="38"/>
      <c r="Q92" s="34"/>
      <c r="R92" s="34"/>
      <c r="U92" s="34"/>
      <c r="V92" s="34"/>
      <c r="W92" s="34"/>
      <c r="X92" s="34"/>
      <c r="Y92" s="34"/>
      <c r="Z92" s="34"/>
      <c r="AA92" s="34"/>
      <c r="AC92" s="38"/>
      <c r="AF92" s="34"/>
      <c r="AG92" s="34"/>
      <c r="AJ92" s="34"/>
      <c r="AK92" s="34"/>
      <c r="AL92" s="34"/>
      <c r="AM92" s="34"/>
      <c r="AN92" s="34"/>
    </row>
    <row r="93" spans="2:40" s="37" customFormat="1" ht="13.5" x14ac:dyDescent="0.3">
      <c r="B93" s="34"/>
      <c r="F93" s="34"/>
      <c r="G93" s="34"/>
      <c r="H93" s="34"/>
      <c r="I93" s="34"/>
      <c r="J93" s="34"/>
      <c r="K93" s="34"/>
      <c r="L93" s="34"/>
      <c r="N93" s="38"/>
      <c r="Q93" s="34"/>
      <c r="R93" s="34"/>
      <c r="U93" s="34"/>
      <c r="V93" s="34"/>
      <c r="W93" s="34"/>
      <c r="X93" s="34"/>
      <c r="Y93" s="34"/>
      <c r="Z93" s="34"/>
      <c r="AA93" s="34"/>
      <c r="AC93" s="38"/>
      <c r="AF93" s="34"/>
      <c r="AG93" s="34"/>
      <c r="AJ93" s="34"/>
      <c r="AK93" s="34"/>
      <c r="AL93" s="34"/>
      <c r="AM93" s="34"/>
      <c r="AN93" s="34"/>
    </row>
  </sheetData>
  <mergeCells count="170">
    <mergeCell ref="AP7:AP8"/>
    <mergeCell ref="R7:U7"/>
    <mergeCell ref="V7:V8"/>
    <mergeCell ref="W7:Z7"/>
    <mergeCell ref="AA7:AA8"/>
    <mergeCell ref="AE7:AE8"/>
    <mergeCell ref="G1:M1"/>
    <mergeCell ref="B3:B4"/>
    <mergeCell ref="Q3:Q4"/>
    <mergeCell ref="G7:G8"/>
    <mergeCell ref="L7:L8"/>
    <mergeCell ref="P7:P8"/>
    <mergeCell ref="Q7:Q8"/>
    <mergeCell ref="A6:B6"/>
    <mergeCell ref="P6:Q6"/>
    <mergeCell ref="AF3:AF4"/>
    <mergeCell ref="C7:F7"/>
    <mergeCell ref="H7:K7"/>
    <mergeCell ref="B7:B8"/>
    <mergeCell ref="AE6:AF6"/>
    <mergeCell ref="AL7:AO7"/>
    <mergeCell ref="C27:D27"/>
    <mergeCell ref="C28:D28"/>
    <mergeCell ref="C29:D29"/>
    <mergeCell ref="C30:D30"/>
    <mergeCell ref="A7:A8"/>
    <mergeCell ref="A19:A23"/>
    <mergeCell ref="P19:P23"/>
    <mergeCell ref="AE19:AE23"/>
    <mergeCell ref="A13:A14"/>
    <mergeCell ref="P13:P14"/>
    <mergeCell ref="AE13:AE14"/>
    <mergeCell ref="A9:A12"/>
    <mergeCell ref="P9:P12"/>
    <mergeCell ref="AE9:AE12"/>
    <mergeCell ref="C26:D26"/>
    <mergeCell ref="E26:F26"/>
    <mergeCell ref="R25:U25"/>
    <mergeCell ref="H26:I26"/>
    <mergeCell ref="J26:K26"/>
    <mergeCell ref="E30:F30"/>
    <mergeCell ref="V25:V26"/>
    <mergeCell ref="L25:L26"/>
    <mergeCell ref="A25:B26"/>
    <mergeCell ref="P25:Q26"/>
    <mergeCell ref="A41:K41"/>
    <mergeCell ref="AF7:AF8"/>
    <mergeCell ref="AG7:AJ7"/>
    <mergeCell ref="AK7:AK8"/>
    <mergeCell ref="A36:K36"/>
    <mergeCell ref="A37:K37"/>
    <mergeCell ref="A38:K38"/>
    <mergeCell ref="A39:K39"/>
    <mergeCell ref="C31:D31"/>
    <mergeCell ref="C32:D32"/>
    <mergeCell ref="C33:D33"/>
    <mergeCell ref="A16:A18"/>
    <mergeCell ref="P16:P18"/>
    <mergeCell ref="AE16:AE18"/>
    <mergeCell ref="A27:A29"/>
    <mergeCell ref="A30:A34"/>
    <mergeCell ref="P27:P29"/>
    <mergeCell ref="P30:P34"/>
    <mergeCell ref="AE27:AE29"/>
    <mergeCell ref="AE30:AE34"/>
    <mergeCell ref="C34:D34"/>
    <mergeCell ref="E27:F27"/>
    <mergeCell ref="E28:F28"/>
    <mergeCell ref="E29:F29"/>
    <mergeCell ref="E31:F31"/>
    <mergeCell ref="E32:F32"/>
    <mergeCell ref="E33:F33"/>
    <mergeCell ref="E34:F34"/>
    <mergeCell ref="C25:F25"/>
    <mergeCell ref="R30:S30"/>
    <mergeCell ref="T30:U30"/>
    <mergeCell ref="R31:S31"/>
    <mergeCell ref="T31:U31"/>
    <mergeCell ref="R32:S32"/>
    <mergeCell ref="T32:U32"/>
    <mergeCell ref="H25:K25"/>
    <mergeCell ref="G25:G26"/>
    <mergeCell ref="J27:K27"/>
    <mergeCell ref="J28:K28"/>
    <mergeCell ref="J29:K29"/>
    <mergeCell ref="J30:K30"/>
    <mergeCell ref="J31:K31"/>
    <mergeCell ref="T29:U29"/>
    <mergeCell ref="H27:I27"/>
    <mergeCell ref="H28:I28"/>
    <mergeCell ref="H29:I29"/>
    <mergeCell ref="H30:I30"/>
    <mergeCell ref="H31:I31"/>
    <mergeCell ref="AI27:AJ27"/>
    <mergeCell ref="AG28:AH28"/>
    <mergeCell ref="AI28:AJ28"/>
    <mergeCell ref="AG29:AH29"/>
    <mergeCell ref="AI29:AJ29"/>
    <mergeCell ref="R26:S26"/>
    <mergeCell ref="T26:U26"/>
    <mergeCell ref="R27:S27"/>
    <mergeCell ref="T27:U27"/>
    <mergeCell ref="R28:S28"/>
    <mergeCell ref="T28:U28"/>
    <mergeCell ref="R29:S29"/>
    <mergeCell ref="AE25:AF26"/>
    <mergeCell ref="AK25:AK26"/>
    <mergeCell ref="AL25:AO25"/>
    <mergeCell ref="W26:X26"/>
    <mergeCell ref="Y26:Z26"/>
    <mergeCell ref="AL26:AM26"/>
    <mergeCell ref="AN26:AO26"/>
    <mergeCell ref="AG30:AH30"/>
    <mergeCell ref="AI30:AJ30"/>
    <mergeCell ref="AG31:AH31"/>
    <mergeCell ref="Y27:Z27"/>
    <mergeCell ref="W28:X28"/>
    <mergeCell ref="Y28:Z28"/>
    <mergeCell ref="W29:X29"/>
    <mergeCell ref="Y29:Z29"/>
    <mergeCell ref="W30:X30"/>
    <mergeCell ref="Y30:Z30"/>
    <mergeCell ref="W31:X31"/>
    <mergeCell ref="Y31:Z31"/>
    <mergeCell ref="W25:Z25"/>
    <mergeCell ref="AI31:AJ31"/>
    <mergeCell ref="AG25:AJ25"/>
    <mergeCell ref="AG26:AH26"/>
    <mergeCell ref="AI26:AJ26"/>
    <mergeCell ref="AG27:AH27"/>
    <mergeCell ref="AL34:AM34"/>
    <mergeCell ref="AN34:AO34"/>
    <mergeCell ref="W32:X32"/>
    <mergeCell ref="Y32:Z32"/>
    <mergeCell ref="W33:X33"/>
    <mergeCell ref="Y33:Z33"/>
    <mergeCell ref="AG34:AH34"/>
    <mergeCell ref="AI34:AJ34"/>
    <mergeCell ref="R34:S34"/>
    <mergeCell ref="T34:U34"/>
    <mergeCell ref="AG32:AH32"/>
    <mergeCell ref="AI32:AJ32"/>
    <mergeCell ref="AG33:AH33"/>
    <mergeCell ref="AI33:AJ33"/>
    <mergeCell ref="R33:S33"/>
    <mergeCell ref="T33:U33"/>
    <mergeCell ref="A40:K40"/>
    <mergeCell ref="W34:X34"/>
    <mergeCell ref="Y34:Z34"/>
    <mergeCell ref="AL27:AM27"/>
    <mergeCell ref="AN27:AO27"/>
    <mergeCell ref="AL28:AM28"/>
    <mergeCell ref="AN28:AO28"/>
    <mergeCell ref="AL29:AM29"/>
    <mergeCell ref="AN29:AO29"/>
    <mergeCell ref="AL30:AM30"/>
    <mergeCell ref="AN30:AO30"/>
    <mergeCell ref="AL31:AM31"/>
    <mergeCell ref="AN31:AO31"/>
    <mergeCell ref="AL32:AM32"/>
    <mergeCell ref="AN32:AO32"/>
    <mergeCell ref="AL33:AM33"/>
    <mergeCell ref="AN33:AO33"/>
    <mergeCell ref="J32:K32"/>
    <mergeCell ref="J33:K33"/>
    <mergeCell ref="J34:K34"/>
    <mergeCell ref="H34:I34"/>
    <mergeCell ref="W27:X27"/>
    <mergeCell ref="H32:I32"/>
    <mergeCell ref="H33:I33"/>
  </mergeCells>
  <phoneticPr fontId="3" type="noConversion"/>
  <conditionalFormatting sqref="L37:L41">
    <cfRule type="containsText" dxfId="8" priority="2" operator="containsText" text="X">
      <formula>NOT(ISERROR(SEARCH("X",L37)))</formula>
    </cfRule>
  </conditionalFormatting>
  <conditionalFormatting sqref="L9:M24 AA9:AB34 AP9:AP34 M25:M26 L27:M34 J35:L35">
    <cfRule type="containsText" dxfId="7" priority="3" operator="containsText" text="X">
      <formula>NOT(ISERROR(SEARCH("X",J9)))</formula>
    </cfRule>
  </conditionalFormatting>
  <conditionalFormatting sqref="Y35:AA41">
    <cfRule type="containsText" dxfId="6" priority="1" operator="containsText" text="X">
      <formula>NOT(ISERROR(SEARCH("X",Y35)))</formula>
    </cfRule>
  </conditionalFormatting>
  <pageMargins left="0.7" right="0.7" top="0.75" bottom="0.75" header="0.3" footer="0.3"/>
  <pageSetup paperSize="9" orientation="portrait" verticalDpi="0" r:id="rId1"/>
  <ignoredErrors>
    <ignoredError sqref="D24 S19:T24 AH19:AH24 AH9:AH17 S9:T17" formula="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40"/>
  <sheetViews>
    <sheetView showGridLines="0" zoomScale="85" zoomScaleNormal="85" workbookViewId="0">
      <selection activeCell="C10" sqref="C10:C26"/>
    </sheetView>
  </sheetViews>
  <sheetFormatPr defaultRowHeight="16.5" x14ac:dyDescent="0.3"/>
  <cols>
    <col min="1" max="1" width="5.625" customWidth="1"/>
    <col min="2" max="2" width="24.125" style="23" customWidth="1"/>
    <col min="3" max="6" width="8.375" customWidth="1"/>
    <col min="7" max="12" width="9.25" style="23" customWidth="1"/>
    <col min="13" max="13" width="1.25" customWidth="1"/>
    <col min="14" max="14" width="1.25" style="14" customWidth="1"/>
    <col min="15" max="15" width="1.25" customWidth="1"/>
    <col min="16" max="16" width="5.625" customWidth="1"/>
    <col min="17" max="17" width="24.125" style="23" customWidth="1"/>
    <col min="18" max="21" width="8.375" customWidth="1"/>
    <col min="22" max="27" width="9.25" style="23" customWidth="1"/>
    <col min="28" max="28" width="1.25" customWidth="1"/>
    <col min="29" max="29" width="1.25" style="14" customWidth="1"/>
    <col min="30" max="30" width="1.25" customWidth="1"/>
    <col min="31" max="31" width="5.625" customWidth="1"/>
    <col min="32" max="32" width="24.125" style="23" customWidth="1"/>
    <col min="33" max="36" width="8.375" customWidth="1"/>
    <col min="37" max="42" width="9.25" style="23" customWidth="1"/>
  </cols>
  <sheetData>
    <row r="1" spans="1:42" ht="43.5" customHeight="1" x14ac:dyDescent="0.3">
      <c r="A1" s="105" t="s">
        <v>153</v>
      </c>
      <c r="B1" s="106"/>
      <c r="C1" s="107"/>
      <c r="D1" s="107"/>
      <c r="E1" s="54"/>
      <c r="F1" s="54"/>
      <c r="G1" s="151" t="s">
        <v>120</v>
      </c>
      <c r="H1" s="151"/>
      <c r="I1" s="151"/>
      <c r="J1" s="151"/>
      <c r="K1" s="151"/>
      <c r="L1" s="151"/>
      <c r="M1" s="151"/>
      <c r="P1" s="119"/>
      <c r="Q1" s="52"/>
      <c r="R1" s="54"/>
      <c r="S1" s="54"/>
      <c r="T1" s="54"/>
      <c r="U1" s="54"/>
      <c r="V1"/>
      <c r="W1"/>
      <c r="X1"/>
      <c r="Y1"/>
      <c r="Z1"/>
      <c r="AA1"/>
      <c r="AE1" s="119"/>
      <c r="AF1" s="52"/>
      <c r="AG1" s="54"/>
      <c r="AH1" s="54"/>
      <c r="AI1" s="54"/>
      <c r="AJ1" s="54"/>
      <c r="AK1"/>
      <c r="AL1"/>
      <c r="AM1"/>
      <c r="AN1"/>
      <c r="AO1"/>
      <c r="AP1"/>
    </row>
    <row r="2" spans="1:42" ht="27" thickBot="1" x14ac:dyDescent="0.35">
      <c r="A2" s="18"/>
      <c r="P2" s="18"/>
      <c r="AE2" s="18"/>
    </row>
    <row r="3" spans="1:42" s="39" customFormat="1" ht="24.75" customHeight="1" thickTop="1" x14ac:dyDescent="0.3">
      <c r="B3" s="180" t="s">
        <v>37</v>
      </c>
      <c r="C3" s="83" t="s">
        <v>38</v>
      </c>
      <c r="D3" s="83">
        <v>3</v>
      </c>
      <c r="E3" s="83" t="s">
        <v>33</v>
      </c>
      <c r="F3" s="83"/>
      <c r="G3" s="116"/>
      <c r="H3" s="51"/>
      <c r="I3" s="115"/>
      <c r="L3" s="51"/>
      <c r="N3" s="40"/>
      <c r="Q3" s="180" t="s">
        <v>37</v>
      </c>
      <c r="R3" s="83" t="s">
        <v>38</v>
      </c>
      <c r="S3" s="83">
        <v>3</v>
      </c>
      <c r="T3" s="83" t="s">
        <v>33</v>
      </c>
      <c r="U3" s="83"/>
      <c r="V3" s="116"/>
      <c r="W3" s="51"/>
      <c r="X3" s="115"/>
      <c r="AA3" s="51"/>
      <c r="AC3" s="40"/>
      <c r="AF3" s="180" t="s">
        <v>37</v>
      </c>
      <c r="AG3" s="83" t="s">
        <v>38</v>
      </c>
      <c r="AH3" s="83">
        <v>3</v>
      </c>
      <c r="AI3" s="83" t="s">
        <v>33</v>
      </c>
      <c r="AJ3" s="83"/>
      <c r="AK3" s="116"/>
      <c r="AL3" s="51"/>
      <c r="AM3" s="115"/>
      <c r="AP3" s="51"/>
    </row>
    <row r="4" spans="1:42" s="39" customFormat="1" ht="24.75" customHeight="1" x14ac:dyDescent="0.3">
      <c r="A4" s="81"/>
      <c r="B4" s="229"/>
      <c r="C4" s="51" t="s">
        <v>39</v>
      </c>
      <c r="D4" s="117">
        <v>2</v>
      </c>
      <c r="E4" s="51" t="s">
        <v>85</v>
      </c>
      <c r="F4" s="117">
        <v>2</v>
      </c>
      <c r="G4" s="118" t="s">
        <v>34</v>
      </c>
      <c r="H4" s="115"/>
      <c r="I4" s="51"/>
      <c r="L4" s="51"/>
      <c r="N4" s="40"/>
      <c r="P4" s="81"/>
      <c r="Q4" s="229"/>
      <c r="R4" s="51" t="s">
        <v>39</v>
      </c>
      <c r="S4" s="117">
        <v>1</v>
      </c>
      <c r="T4" s="51" t="s">
        <v>85</v>
      </c>
      <c r="U4" s="117">
        <v>1</v>
      </c>
      <c r="V4" s="118" t="s">
        <v>34</v>
      </c>
      <c r="W4" s="115"/>
      <c r="X4" s="51"/>
      <c r="AA4" s="51"/>
      <c r="AC4" s="40"/>
      <c r="AE4" s="81"/>
      <c r="AF4" s="229"/>
      <c r="AG4" s="51" t="s">
        <v>39</v>
      </c>
      <c r="AH4" s="117">
        <v>1</v>
      </c>
      <c r="AI4" s="51" t="s">
        <v>85</v>
      </c>
      <c r="AJ4" s="117">
        <v>1</v>
      </c>
      <c r="AK4" s="118" t="s">
        <v>34</v>
      </c>
      <c r="AL4" s="115"/>
      <c r="AM4" s="51"/>
      <c r="AP4" s="51"/>
    </row>
    <row r="5" spans="1:42" s="39" customFormat="1" ht="29.25" customHeight="1" thickBot="1" x14ac:dyDescent="0.35">
      <c r="A5" s="81"/>
      <c r="B5" s="181"/>
      <c r="C5" s="230" t="s">
        <v>171</v>
      </c>
      <c r="D5" s="231"/>
      <c r="E5" s="231"/>
      <c r="F5" s="231"/>
      <c r="G5" s="232"/>
      <c r="H5" s="115"/>
      <c r="I5" s="51"/>
      <c r="L5" s="51"/>
      <c r="N5" s="40"/>
      <c r="P5" s="81"/>
      <c r="Q5" s="181"/>
      <c r="R5" s="230" t="s">
        <v>171</v>
      </c>
      <c r="S5" s="231"/>
      <c r="T5" s="231"/>
      <c r="U5" s="231"/>
      <c r="V5" s="232"/>
      <c r="W5" s="115"/>
      <c r="X5" s="51"/>
      <c r="AA5" s="51"/>
      <c r="AC5" s="40"/>
      <c r="AE5" s="81"/>
      <c r="AF5" s="181"/>
      <c r="AG5" s="230" t="s">
        <v>171</v>
      </c>
      <c r="AH5" s="231"/>
      <c r="AI5" s="231"/>
      <c r="AJ5" s="231"/>
      <c r="AK5" s="232"/>
      <c r="AL5" s="115"/>
      <c r="AM5" s="51"/>
      <c r="AP5" s="51"/>
    </row>
    <row r="6" spans="1:42" ht="20.100000000000001" customHeight="1" thickTop="1" x14ac:dyDescent="0.3">
      <c r="A6" s="23"/>
      <c r="E6" s="24"/>
      <c r="F6" s="24"/>
      <c r="P6" s="23"/>
      <c r="T6" s="24"/>
      <c r="U6" s="24"/>
      <c r="AE6" s="23"/>
      <c r="AI6" s="24"/>
      <c r="AJ6" s="24"/>
    </row>
    <row r="7" spans="1:42" s="37" customFormat="1" ht="36" customHeight="1" thickBot="1" x14ac:dyDescent="0.35">
      <c r="A7" s="173" t="s">
        <v>170</v>
      </c>
      <c r="B7" s="174"/>
      <c r="C7" s="233">
        <v>1</v>
      </c>
      <c r="D7" s="233"/>
      <c r="G7" s="34"/>
      <c r="H7" s="34"/>
      <c r="I7" s="34"/>
      <c r="J7" s="34"/>
      <c r="K7" s="34"/>
      <c r="L7" s="34"/>
      <c r="N7" s="38"/>
      <c r="P7" s="235" t="s">
        <v>175</v>
      </c>
      <c r="Q7" s="236"/>
      <c r="R7" s="237">
        <v>0.66666666666666696</v>
      </c>
      <c r="S7" s="237"/>
      <c r="V7" s="34"/>
      <c r="W7" s="34"/>
      <c r="X7" s="34"/>
      <c r="Y7" s="34"/>
      <c r="Z7" s="34"/>
      <c r="AA7" s="34"/>
      <c r="AC7" s="38"/>
      <c r="AE7" s="235" t="s">
        <v>176</v>
      </c>
      <c r="AF7" s="236"/>
      <c r="AG7" s="237">
        <v>0.5</v>
      </c>
      <c r="AH7" s="237"/>
      <c r="AK7" s="34"/>
      <c r="AL7" s="34"/>
      <c r="AM7" s="34"/>
      <c r="AN7" s="34"/>
      <c r="AO7" s="34"/>
      <c r="AP7" s="34"/>
    </row>
    <row r="8" spans="1:42" s="37" customFormat="1" ht="25.5" customHeight="1" thickTop="1" x14ac:dyDescent="0.3">
      <c r="A8" s="211"/>
      <c r="B8" s="221" t="s">
        <v>36</v>
      </c>
      <c r="C8" s="150" t="s">
        <v>106</v>
      </c>
      <c r="D8" s="201"/>
      <c r="E8" s="201"/>
      <c r="F8" s="202"/>
      <c r="G8" s="218" t="s">
        <v>29</v>
      </c>
      <c r="H8" s="150" t="s">
        <v>121</v>
      </c>
      <c r="I8" s="201"/>
      <c r="J8" s="201"/>
      <c r="K8" s="201"/>
      <c r="L8" s="223" t="s">
        <v>172</v>
      </c>
      <c r="N8" s="38"/>
      <c r="P8" s="211"/>
      <c r="Q8" s="221" t="s">
        <v>36</v>
      </c>
      <c r="R8" s="150" t="s">
        <v>106</v>
      </c>
      <c r="S8" s="201"/>
      <c r="T8" s="201"/>
      <c r="U8" s="202"/>
      <c r="V8" s="218" t="s">
        <v>29</v>
      </c>
      <c r="W8" s="150" t="s">
        <v>121</v>
      </c>
      <c r="X8" s="201"/>
      <c r="Y8" s="201"/>
      <c r="Z8" s="201"/>
      <c r="AA8" s="223" t="s">
        <v>172</v>
      </c>
      <c r="AC8" s="38"/>
      <c r="AE8" s="211"/>
      <c r="AF8" s="221" t="s">
        <v>36</v>
      </c>
      <c r="AG8" s="150" t="s">
        <v>106</v>
      </c>
      <c r="AH8" s="201"/>
      <c r="AI8" s="201"/>
      <c r="AJ8" s="202"/>
      <c r="AK8" s="218" t="s">
        <v>29</v>
      </c>
      <c r="AL8" s="150" t="s">
        <v>121</v>
      </c>
      <c r="AM8" s="201"/>
      <c r="AN8" s="201"/>
      <c r="AO8" s="201"/>
      <c r="AP8" s="223" t="s">
        <v>172</v>
      </c>
    </row>
    <row r="9" spans="1:42" ht="25.5" customHeight="1" x14ac:dyDescent="0.3">
      <c r="A9" s="212"/>
      <c r="B9" s="222"/>
      <c r="C9" s="65" t="s">
        <v>102</v>
      </c>
      <c r="D9" s="65" t="s">
        <v>103</v>
      </c>
      <c r="E9" s="65" t="s">
        <v>104</v>
      </c>
      <c r="F9" s="65" t="s">
        <v>105</v>
      </c>
      <c r="G9" s="219" t="s">
        <v>29</v>
      </c>
      <c r="H9" s="65" t="s">
        <v>102</v>
      </c>
      <c r="I9" s="65" t="s">
        <v>103</v>
      </c>
      <c r="J9" s="65" t="s">
        <v>104</v>
      </c>
      <c r="K9" s="73" t="s">
        <v>105</v>
      </c>
      <c r="L9" s="224"/>
      <c r="M9" s="34"/>
      <c r="N9" s="35"/>
      <c r="O9" s="36"/>
      <c r="P9" s="212"/>
      <c r="Q9" s="222"/>
      <c r="R9" s="65" t="s">
        <v>102</v>
      </c>
      <c r="S9" s="65" t="s">
        <v>103</v>
      </c>
      <c r="T9" s="65" t="s">
        <v>104</v>
      </c>
      <c r="U9" s="65" t="s">
        <v>105</v>
      </c>
      <c r="V9" s="219" t="s">
        <v>29</v>
      </c>
      <c r="W9" s="65" t="s">
        <v>102</v>
      </c>
      <c r="X9" s="65" t="s">
        <v>103</v>
      </c>
      <c r="Y9" s="65" t="s">
        <v>104</v>
      </c>
      <c r="Z9" s="65" t="s">
        <v>105</v>
      </c>
      <c r="AA9" s="224"/>
      <c r="AB9" s="34"/>
      <c r="AC9" s="35"/>
      <c r="AD9" s="36"/>
      <c r="AE9" s="212"/>
      <c r="AF9" s="222"/>
      <c r="AG9" s="65" t="s">
        <v>102</v>
      </c>
      <c r="AH9" s="65" t="s">
        <v>103</v>
      </c>
      <c r="AI9" s="65" t="s">
        <v>104</v>
      </c>
      <c r="AJ9" s="65" t="s">
        <v>105</v>
      </c>
      <c r="AK9" s="219" t="s">
        <v>29</v>
      </c>
      <c r="AL9" s="65" t="s">
        <v>102</v>
      </c>
      <c r="AM9" s="65" t="s">
        <v>103</v>
      </c>
      <c r="AN9" s="65" t="s">
        <v>104</v>
      </c>
      <c r="AO9" s="65" t="s">
        <v>105</v>
      </c>
      <c r="AP9" s="224"/>
    </row>
    <row r="10" spans="1:42" ht="24.95" customHeight="1" x14ac:dyDescent="0.3">
      <c r="A10" s="228" t="s">
        <v>191</v>
      </c>
      <c r="B10" s="111" t="s">
        <v>72</v>
      </c>
      <c r="C10" s="225"/>
      <c r="D10" s="95">
        <f>F10/3</f>
        <v>25</v>
      </c>
      <c r="E10" s="95">
        <f>F10/2</f>
        <v>37.5</v>
      </c>
      <c r="F10" s="95">
        <v>75</v>
      </c>
      <c r="G10" s="112"/>
      <c r="H10" s="95" t="str">
        <f>IF(G10="","-",G10*$D$4)</f>
        <v>-</v>
      </c>
      <c r="I10" s="95" t="str">
        <f>IF(G10="","-",G10*$F$4)</f>
        <v>-</v>
      </c>
      <c r="J10" s="95" t="str">
        <f>IF(G10="","-",H10*$D$3)</f>
        <v>-</v>
      </c>
      <c r="K10" s="123" t="str">
        <f>IF(G10="","-",I10*$D$3)</f>
        <v>-</v>
      </c>
      <c r="L10" s="79" t="str">
        <f>IF(G10="","",IF(AND(F10&gt;=K10,E10&lt;=J10,D10&gt;=I10),"O","X"))</f>
        <v/>
      </c>
      <c r="M10" s="37"/>
      <c r="N10" s="38"/>
      <c r="O10" s="37"/>
      <c r="P10" s="228" t="s">
        <v>9</v>
      </c>
      <c r="Q10" s="111" t="s">
        <v>72</v>
      </c>
      <c r="R10" s="225"/>
      <c r="S10" s="127">
        <f>D10*$R$7</f>
        <v>16.666666666666675</v>
      </c>
      <c r="T10" s="127">
        <f>E10*$R$7</f>
        <v>25.000000000000011</v>
      </c>
      <c r="U10" s="127">
        <f>F10*$R$7</f>
        <v>50.000000000000021</v>
      </c>
      <c r="V10" s="129" t="str">
        <f>IF(G10&lt;&gt;"",G10,"")</f>
        <v/>
      </c>
      <c r="W10" s="95" t="str">
        <f t="shared" ref="W10:W18" si="0">IF(V10="","-",V10*$S$4)</f>
        <v>-</v>
      </c>
      <c r="X10" s="95" t="str">
        <f t="shared" ref="X10:X18" si="1">IF(V10="","-",V10*$U$4)</f>
        <v>-</v>
      </c>
      <c r="Y10" s="95" t="str">
        <f>IF(V10="","-",W10*$D$3)</f>
        <v>-</v>
      </c>
      <c r="Z10" s="123" t="str">
        <f>IF(V10="","-",X10*$D$3)</f>
        <v>-</v>
      </c>
      <c r="AA10" s="79" t="str">
        <f>IF(V10="","",IF(AND(U10&gt;=Z10,T10&lt;=Y10,S10&gt;=X10),"O","X"))</f>
        <v/>
      </c>
      <c r="AB10" s="37"/>
      <c r="AC10" s="38"/>
      <c r="AD10" s="37"/>
      <c r="AE10" s="228" t="s">
        <v>9</v>
      </c>
      <c r="AF10" s="111" t="s">
        <v>72</v>
      </c>
      <c r="AG10" s="225"/>
      <c r="AH10" s="128">
        <f t="shared" ref="AH10:AI25" si="2">D10*$AG$7</f>
        <v>12.5</v>
      </c>
      <c r="AI10" s="128">
        <f t="shared" si="2"/>
        <v>18.75</v>
      </c>
      <c r="AJ10" s="128">
        <f>F10*$AG$7</f>
        <v>37.5</v>
      </c>
      <c r="AK10" s="129" t="str">
        <f>IF(G10&lt;&gt;"",G10,"")</f>
        <v/>
      </c>
      <c r="AL10" s="95" t="str">
        <f t="shared" ref="AL10:AL18" si="3">IF(AK10="","-",AK10*$AH$4)</f>
        <v>-</v>
      </c>
      <c r="AM10" s="95" t="str">
        <f t="shared" ref="AM10:AM18" si="4">IF(AK10="","-",AK10*$AJ$4)</f>
        <v>-</v>
      </c>
      <c r="AN10" s="95" t="str">
        <f>IF(AK10="","-",AL10*$D$3)</f>
        <v>-</v>
      </c>
      <c r="AO10" s="123" t="str">
        <f>IF(AK10="","-",AM10*$D$3)</f>
        <v>-</v>
      </c>
      <c r="AP10" s="79" t="str">
        <f>IF(AK10="","",IF(AND(AJ10&gt;=AO10,AI10&lt;=AN10,AH10&gt;=AM10),"O","X"))</f>
        <v/>
      </c>
    </row>
    <row r="11" spans="1:42" ht="24.95" customHeight="1" x14ac:dyDescent="0.3">
      <c r="A11" s="178"/>
      <c r="B11" s="110" t="s">
        <v>158</v>
      </c>
      <c r="C11" s="226"/>
      <c r="D11" s="95">
        <f t="shared" ref="D11:D26" si="5">F11/3</f>
        <v>2</v>
      </c>
      <c r="E11" s="95">
        <f t="shared" ref="E11:E15" si="6">F11/2</f>
        <v>3</v>
      </c>
      <c r="F11" s="66">
        <v>6</v>
      </c>
      <c r="G11" s="112"/>
      <c r="H11" s="95" t="str">
        <f t="shared" ref="H11:H26" si="7">IF(G11="","-",G11*$D$4)</f>
        <v>-</v>
      </c>
      <c r="I11" s="95" t="str">
        <f t="shared" ref="I11:I26" si="8">IF(G11="","-",G11*$F$4)</f>
        <v>-</v>
      </c>
      <c r="J11" s="95" t="str">
        <f t="shared" ref="J11:J26" si="9">IF(G11="","-",H11*$D$3)</f>
        <v>-</v>
      </c>
      <c r="K11" s="123" t="str">
        <f t="shared" ref="K11:K26" si="10">IF(G11="","-",I11*$D$3)</f>
        <v>-</v>
      </c>
      <c r="L11" s="79" t="str">
        <f t="shared" ref="L11:L25" si="11">IF(G11="","",IF(AND(F11&gt;=K11,E11&lt;=J11,D11&gt;=I11),"O","X"))</f>
        <v/>
      </c>
      <c r="M11" s="37"/>
      <c r="N11" s="38"/>
      <c r="O11" s="37"/>
      <c r="P11" s="178"/>
      <c r="Q11" s="110" t="s">
        <v>158</v>
      </c>
      <c r="R11" s="226"/>
      <c r="S11" s="127">
        <f t="shared" ref="S11:S26" si="12">D11*$R$7</f>
        <v>1.3333333333333339</v>
      </c>
      <c r="T11" s="127">
        <f t="shared" ref="T11:T26" si="13">E11*$R$7</f>
        <v>2.0000000000000009</v>
      </c>
      <c r="U11" s="127">
        <f t="shared" ref="U11:U26" si="14">F11*$R$7</f>
        <v>4.0000000000000018</v>
      </c>
      <c r="V11" s="129" t="str">
        <f t="shared" ref="V11:V26" si="15">IF(G11&lt;&gt;"",G11,"")</f>
        <v/>
      </c>
      <c r="W11" s="95" t="str">
        <f t="shared" si="0"/>
        <v>-</v>
      </c>
      <c r="X11" s="95" t="str">
        <f t="shared" si="1"/>
        <v>-</v>
      </c>
      <c r="Y11" s="95" t="str">
        <f t="shared" ref="Y11:Y26" si="16">IF(V11="","-",W11*$D$3)</f>
        <v>-</v>
      </c>
      <c r="Z11" s="123" t="str">
        <f t="shared" ref="Z11:Z26" si="17">IF(V11="","-",X11*$D$3)</f>
        <v>-</v>
      </c>
      <c r="AA11" s="79" t="str">
        <f t="shared" ref="AA11:AA26" si="18">IF(V11="","",IF(AND(U11&gt;=Z11,T11&lt;=Y11,S11&gt;=X11),"O","X"))</f>
        <v/>
      </c>
      <c r="AB11" s="37"/>
      <c r="AC11" s="38"/>
      <c r="AD11" s="37"/>
      <c r="AE11" s="178"/>
      <c r="AF11" s="110" t="s">
        <v>158</v>
      </c>
      <c r="AG11" s="226"/>
      <c r="AH11" s="128">
        <f t="shared" si="2"/>
        <v>1</v>
      </c>
      <c r="AI11" s="128">
        <f t="shared" si="2"/>
        <v>1.5</v>
      </c>
      <c r="AJ11" s="128">
        <f t="shared" ref="AJ11:AJ26" si="19">F11*$AG$7</f>
        <v>3</v>
      </c>
      <c r="AK11" s="129" t="str">
        <f t="shared" ref="AK11:AK26" si="20">IF(G11&lt;&gt;"",G11,"")</f>
        <v/>
      </c>
      <c r="AL11" s="95" t="str">
        <f t="shared" si="3"/>
        <v>-</v>
      </c>
      <c r="AM11" s="95" t="str">
        <f t="shared" si="4"/>
        <v>-</v>
      </c>
      <c r="AN11" s="95" t="str">
        <f t="shared" ref="AN11:AN26" si="21">IF(AK11="","-",AL11*$D$3)</f>
        <v>-</v>
      </c>
      <c r="AO11" s="123" t="str">
        <f t="shared" ref="AO11:AO26" si="22">IF(AK11="","-",AM11*$D$3)</f>
        <v>-</v>
      </c>
      <c r="AP11" s="79" t="str">
        <f t="shared" ref="AP11:AP26" si="23">IF(AK11="","",IF(AND(AJ11&gt;=AO11,AI11&lt;=AN11,AH11&gt;=AM11),"O","X"))</f>
        <v/>
      </c>
    </row>
    <row r="12" spans="1:42" ht="24.95" customHeight="1" x14ac:dyDescent="0.3">
      <c r="A12" s="178"/>
      <c r="B12" s="110" t="s">
        <v>161</v>
      </c>
      <c r="C12" s="226"/>
      <c r="D12" s="114">
        <f t="shared" si="5"/>
        <v>5.333333333333333</v>
      </c>
      <c r="E12" s="95">
        <f t="shared" si="6"/>
        <v>8</v>
      </c>
      <c r="F12" s="66">
        <v>16</v>
      </c>
      <c r="G12" s="112"/>
      <c r="H12" s="95" t="str">
        <f t="shared" si="7"/>
        <v>-</v>
      </c>
      <c r="I12" s="95" t="str">
        <f t="shared" si="8"/>
        <v>-</v>
      </c>
      <c r="J12" s="95" t="str">
        <f t="shared" si="9"/>
        <v>-</v>
      </c>
      <c r="K12" s="123" t="str">
        <f t="shared" si="10"/>
        <v>-</v>
      </c>
      <c r="L12" s="79" t="str">
        <f t="shared" si="11"/>
        <v/>
      </c>
      <c r="M12" s="37"/>
      <c r="N12" s="38"/>
      <c r="O12" s="37"/>
      <c r="P12" s="178"/>
      <c r="Q12" s="110" t="s">
        <v>161</v>
      </c>
      <c r="R12" s="226"/>
      <c r="S12" s="127">
        <f t="shared" si="12"/>
        <v>3.5555555555555571</v>
      </c>
      <c r="T12" s="127">
        <f t="shared" si="13"/>
        <v>5.3333333333333357</v>
      </c>
      <c r="U12" s="127">
        <f t="shared" si="14"/>
        <v>10.666666666666671</v>
      </c>
      <c r="V12" s="129" t="str">
        <f t="shared" si="15"/>
        <v/>
      </c>
      <c r="W12" s="95" t="str">
        <f t="shared" si="0"/>
        <v>-</v>
      </c>
      <c r="X12" s="95" t="str">
        <f t="shared" si="1"/>
        <v>-</v>
      </c>
      <c r="Y12" s="95" t="str">
        <f t="shared" si="16"/>
        <v>-</v>
      </c>
      <c r="Z12" s="123" t="str">
        <f t="shared" si="17"/>
        <v>-</v>
      </c>
      <c r="AA12" s="79" t="str">
        <f t="shared" si="18"/>
        <v/>
      </c>
      <c r="AB12" s="37"/>
      <c r="AC12" s="38"/>
      <c r="AD12" s="37"/>
      <c r="AE12" s="178"/>
      <c r="AF12" s="110" t="s">
        <v>161</v>
      </c>
      <c r="AG12" s="226"/>
      <c r="AH12" s="128">
        <f t="shared" si="2"/>
        <v>2.6666666666666665</v>
      </c>
      <c r="AI12" s="128">
        <f t="shared" si="2"/>
        <v>4</v>
      </c>
      <c r="AJ12" s="128">
        <f t="shared" si="19"/>
        <v>8</v>
      </c>
      <c r="AK12" s="129" t="str">
        <f t="shared" si="20"/>
        <v/>
      </c>
      <c r="AL12" s="95" t="str">
        <f t="shared" si="3"/>
        <v>-</v>
      </c>
      <c r="AM12" s="95" t="str">
        <f t="shared" si="4"/>
        <v>-</v>
      </c>
      <c r="AN12" s="95" t="str">
        <f t="shared" si="21"/>
        <v>-</v>
      </c>
      <c r="AO12" s="123" t="str">
        <f t="shared" si="22"/>
        <v>-</v>
      </c>
      <c r="AP12" s="79" t="str">
        <f t="shared" si="23"/>
        <v/>
      </c>
    </row>
    <row r="13" spans="1:42" ht="24.95" customHeight="1" x14ac:dyDescent="0.3">
      <c r="A13" s="178"/>
      <c r="B13" s="110" t="s">
        <v>159</v>
      </c>
      <c r="C13" s="226"/>
      <c r="D13" s="95">
        <f t="shared" si="5"/>
        <v>4</v>
      </c>
      <c r="E13" s="95">
        <f t="shared" si="6"/>
        <v>6</v>
      </c>
      <c r="F13" s="66">
        <v>12</v>
      </c>
      <c r="G13" s="112"/>
      <c r="H13" s="95" t="str">
        <f t="shared" si="7"/>
        <v>-</v>
      </c>
      <c r="I13" s="95" t="str">
        <f t="shared" si="8"/>
        <v>-</v>
      </c>
      <c r="J13" s="95" t="str">
        <f t="shared" si="9"/>
        <v>-</v>
      </c>
      <c r="K13" s="123" t="str">
        <f>IF(G13="","-",I13*$D$3)</f>
        <v>-</v>
      </c>
      <c r="L13" s="79" t="str">
        <f t="shared" si="11"/>
        <v/>
      </c>
      <c r="M13" s="37"/>
      <c r="N13" s="38"/>
      <c r="O13" s="37"/>
      <c r="P13" s="178"/>
      <c r="Q13" s="110" t="s">
        <v>159</v>
      </c>
      <c r="R13" s="226"/>
      <c r="S13" s="127">
        <f t="shared" si="12"/>
        <v>2.6666666666666679</v>
      </c>
      <c r="T13" s="127">
        <f t="shared" si="13"/>
        <v>4.0000000000000018</v>
      </c>
      <c r="U13" s="127">
        <f t="shared" si="14"/>
        <v>8.0000000000000036</v>
      </c>
      <c r="V13" s="129" t="str">
        <f t="shared" si="15"/>
        <v/>
      </c>
      <c r="W13" s="95" t="str">
        <f t="shared" si="0"/>
        <v>-</v>
      </c>
      <c r="X13" s="95" t="str">
        <f t="shared" si="1"/>
        <v>-</v>
      </c>
      <c r="Y13" s="95" t="str">
        <f t="shared" si="16"/>
        <v>-</v>
      </c>
      <c r="Z13" s="123" t="str">
        <f t="shared" si="17"/>
        <v>-</v>
      </c>
      <c r="AA13" s="79" t="str">
        <f t="shared" si="18"/>
        <v/>
      </c>
      <c r="AB13" s="37"/>
      <c r="AC13" s="38"/>
      <c r="AD13" s="37"/>
      <c r="AE13" s="178"/>
      <c r="AF13" s="110" t="s">
        <v>159</v>
      </c>
      <c r="AG13" s="226"/>
      <c r="AH13" s="128">
        <f t="shared" si="2"/>
        <v>2</v>
      </c>
      <c r="AI13" s="128">
        <f t="shared" si="2"/>
        <v>3</v>
      </c>
      <c r="AJ13" s="128">
        <f t="shared" si="19"/>
        <v>6</v>
      </c>
      <c r="AK13" s="129" t="str">
        <f t="shared" si="20"/>
        <v/>
      </c>
      <c r="AL13" s="95" t="str">
        <f t="shared" si="3"/>
        <v>-</v>
      </c>
      <c r="AM13" s="95" t="str">
        <f t="shared" si="4"/>
        <v>-</v>
      </c>
      <c r="AN13" s="95" t="str">
        <f t="shared" si="21"/>
        <v>-</v>
      </c>
      <c r="AO13" s="123" t="str">
        <f t="shared" si="22"/>
        <v>-</v>
      </c>
      <c r="AP13" s="79" t="str">
        <f t="shared" si="23"/>
        <v/>
      </c>
    </row>
    <row r="14" spans="1:42" ht="24.95" customHeight="1" x14ac:dyDescent="0.3">
      <c r="A14" s="178"/>
      <c r="B14" s="110" t="s">
        <v>160</v>
      </c>
      <c r="C14" s="226"/>
      <c r="D14" s="95">
        <f t="shared" si="5"/>
        <v>2</v>
      </c>
      <c r="E14" s="95">
        <f t="shared" si="6"/>
        <v>3</v>
      </c>
      <c r="F14" s="66">
        <v>6</v>
      </c>
      <c r="G14" s="112"/>
      <c r="H14" s="95" t="str">
        <f t="shared" si="7"/>
        <v>-</v>
      </c>
      <c r="I14" s="95" t="str">
        <f t="shared" si="8"/>
        <v>-</v>
      </c>
      <c r="J14" s="95" t="str">
        <f t="shared" si="9"/>
        <v>-</v>
      </c>
      <c r="K14" s="123" t="str">
        <f t="shared" si="10"/>
        <v>-</v>
      </c>
      <c r="L14" s="79" t="str">
        <f t="shared" si="11"/>
        <v/>
      </c>
      <c r="M14" s="37"/>
      <c r="N14" s="38"/>
      <c r="O14" s="37"/>
      <c r="P14" s="178"/>
      <c r="Q14" s="110" t="s">
        <v>160</v>
      </c>
      <c r="R14" s="226"/>
      <c r="S14" s="127">
        <f t="shared" si="12"/>
        <v>1.3333333333333339</v>
      </c>
      <c r="T14" s="127">
        <f t="shared" si="13"/>
        <v>2.0000000000000009</v>
      </c>
      <c r="U14" s="127">
        <f t="shared" si="14"/>
        <v>4.0000000000000018</v>
      </c>
      <c r="V14" s="129" t="str">
        <f t="shared" si="15"/>
        <v/>
      </c>
      <c r="W14" s="95" t="str">
        <f t="shared" si="0"/>
        <v>-</v>
      </c>
      <c r="X14" s="95" t="str">
        <f t="shared" si="1"/>
        <v>-</v>
      </c>
      <c r="Y14" s="95" t="str">
        <f t="shared" si="16"/>
        <v>-</v>
      </c>
      <c r="Z14" s="123" t="str">
        <f t="shared" si="17"/>
        <v>-</v>
      </c>
      <c r="AA14" s="79" t="str">
        <f t="shared" si="18"/>
        <v/>
      </c>
      <c r="AB14" s="37"/>
      <c r="AC14" s="38"/>
      <c r="AD14" s="37"/>
      <c r="AE14" s="178"/>
      <c r="AF14" s="110" t="s">
        <v>160</v>
      </c>
      <c r="AG14" s="226"/>
      <c r="AH14" s="128">
        <f t="shared" si="2"/>
        <v>1</v>
      </c>
      <c r="AI14" s="128">
        <f t="shared" si="2"/>
        <v>1.5</v>
      </c>
      <c r="AJ14" s="128">
        <f t="shared" si="19"/>
        <v>3</v>
      </c>
      <c r="AK14" s="129" t="str">
        <f t="shared" si="20"/>
        <v/>
      </c>
      <c r="AL14" s="95" t="str">
        <f t="shared" si="3"/>
        <v>-</v>
      </c>
      <c r="AM14" s="95" t="str">
        <f t="shared" si="4"/>
        <v>-</v>
      </c>
      <c r="AN14" s="95" t="str">
        <f t="shared" si="21"/>
        <v>-</v>
      </c>
      <c r="AO14" s="123" t="str">
        <f t="shared" si="22"/>
        <v>-</v>
      </c>
      <c r="AP14" s="79" t="str">
        <f t="shared" si="23"/>
        <v/>
      </c>
    </row>
    <row r="15" spans="1:42" ht="24.95" customHeight="1" x14ac:dyDescent="0.3">
      <c r="A15" s="130" t="s">
        <v>192</v>
      </c>
      <c r="B15" s="110" t="s">
        <v>180</v>
      </c>
      <c r="C15" s="226"/>
      <c r="D15" s="95">
        <f>F15/3</f>
        <v>1.3333333333333333</v>
      </c>
      <c r="E15" s="66">
        <f t="shared" si="6"/>
        <v>2</v>
      </c>
      <c r="F15" s="66">
        <v>4</v>
      </c>
      <c r="G15" s="112"/>
      <c r="H15" s="95" t="str">
        <f t="shared" ref="H15" si="24">IF(G15="","-",G15*$D$4)</f>
        <v>-</v>
      </c>
      <c r="I15" s="95" t="str">
        <f t="shared" ref="I15" si="25">IF(G15="","-",G15*$F$4)</f>
        <v>-</v>
      </c>
      <c r="J15" s="95" t="str">
        <f t="shared" ref="J15" si="26">IF(G15="","-",H15*$D$3)</f>
        <v>-</v>
      </c>
      <c r="K15" s="123" t="str">
        <f t="shared" ref="K15" si="27">IF(G15="","-",I15*$D$3)</f>
        <v>-</v>
      </c>
      <c r="L15" s="79" t="str">
        <f t="shared" ref="L15" si="28">IF(G15="","",IF(AND(F15&gt;=K15,E15&lt;=J15,D15&gt;=I15),"O","X"))</f>
        <v/>
      </c>
      <c r="M15" s="37"/>
      <c r="N15" s="38"/>
      <c r="O15" s="37"/>
      <c r="P15" s="130" t="s">
        <v>192</v>
      </c>
      <c r="Q15" s="137" t="s">
        <v>180</v>
      </c>
      <c r="R15" s="226"/>
      <c r="S15" s="127">
        <f t="shared" si="12"/>
        <v>0.88888888888888928</v>
      </c>
      <c r="T15" s="127">
        <f t="shared" si="13"/>
        <v>1.3333333333333339</v>
      </c>
      <c r="U15" s="127">
        <f>F15*$R$7</f>
        <v>2.6666666666666679</v>
      </c>
      <c r="V15" s="129" t="str">
        <f t="shared" ref="V15" si="29">IF(G15&lt;&gt;"",G15,"")</f>
        <v/>
      </c>
      <c r="W15" s="95" t="str">
        <f t="shared" si="0"/>
        <v>-</v>
      </c>
      <c r="X15" s="95" t="str">
        <f t="shared" si="1"/>
        <v>-</v>
      </c>
      <c r="Y15" s="95" t="str">
        <f t="shared" ref="Y15" si="30">IF(V15="","-",W15*$D$3)</f>
        <v>-</v>
      </c>
      <c r="Z15" s="123" t="str">
        <f t="shared" ref="Z15" si="31">IF(V15="","-",X15*$D$3)</f>
        <v>-</v>
      </c>
      <c r="AA15" s="79" t="str">
        <f>IF(V15="","","X")</f>
        <v/>
      </c>
      <c r="AB15" s="37"/>
      <c r="AC15" s="38"/>
      <c r="AD15" s="37"/>
      <c r="AE15" s="130" t="s">
        <v>192</v>
      </c>
      <c r="AF15" s="137" t="s">
        <v>180</v>
      </c>
      <c r="AG15" s="226"/>
      <c r="AH15" s="128">
        <f t="shared" si="2"/>
        <v>0.66666666666666663</v>
      </c>
      <c r="AI15" s="128">
        <f t="shared" si="2"/>
        <v>1</v>
      </c>
      <c r="AJ15" s="128">
        <f t="shared" ref="AJ15" si="32">F15*$AG$7</f>
        <v>2</v>
      </c>
      <c r="AK15" s="129" t="str">
        <f t="shared" ref="AK15" si="33">IF(G15&lt;&gt;"",G15,"")</f>
        <v/>
      </c>
      <c r="AL15" s="95" t="str">
        <f t="shared" si="3"/>
        <v>-</v>
      </c>
      <c r="AM15" s="95" t="str">
        <f t="shared" si="4"/>
        <v>-</v>
      </c>
      <c r="AN15" s="95" t="str">
        <f t="shared" ref="AN15" si="34">IF(AK15="","-",AL15*$D$3)</f>
        <v>-</v>
      </c>
      <c r="AO15" s="123" t="str">
        <f t="shared" ref="AO15" si="35">IF(AK15="","-",AM15*$D$3)</f>
        <v>-</v>
      </c>
      <c r="AP15" s="79" t="str">
        <f>IF(AK15="","","X")</f>
        <v/>
      </c>
    </row>
    <row r="16" spans="1:42" ht="24.95" customHeight="1" x14ac:dyDescent="0.3">
      <c r="A16" s="208" t="s">
        <v>89</v>
      </c>
      <c r="B16" s="110" t="s">
        <v>162</v>
      </c>
      <c r="C16" s="226"/>
      <c r="D16" s="95">
        <f t="shared" si="5"/>
        <v>10</v>
      </c>
      <c r="E16" s="66">
        <f>F16/5</f>
        <v>6</v>
      </c>
      <c r="F16" s="66">
        <v>30</v>
      </c>
      <c r="G16" s="112"/>
      <c r="H16" s="95" t="str">
        <f t="shared" si="7"/>
        <v>-</v>
      </c>
      <c r="I16" s="95" t="str">
        <f t="shared" si="8"/>
        <v>-</v>
      </c>
      <c r="J16" s="95" t="str">
        <f t="shared" si="9"/>
        <v>-</v>
      </c>
      <c r="K16" s="123" t="str">
        <f t="shared" si="10"/>
        <v>-</v>
      </c>
      <c r="L16" s="79" t="str">
        <f t="shared" si="11"/>
        <v/>
      </c>
      <c r="M16" s="37"/>
      <c r="N16" s="38"/>
      <c r="O16" s="37"/>
      <c r="P16" s="208" t="s">
        <v>89</v>
      </c>
      <c r="Q16" s="110" t="s">
        <v>162</v>
      </c>
      <c r="R16" s="226"/>
      <c r="S16" s="127">
        <f t="shared" si="12"/>
        <v>6.6666666666666696</v>
      </c>
      <c r="T16" s="127">
        <f t="shared" si="13"/>
        <v>4.0000000000000018</v>
      </c>
      <c r="U16" s="127">
        <f t="shared" si="14"/>
        <v>20.000000000000007</v>
      </c>
      <c r="V16" s="129" t="str">
        <f t="shared" si="15"/>
        <v/>
      </c>
      <c r="W16" s="95" t="str">
        <f t="shared" si="0"/>
        <v>-</v>
      </c>
      <c r="X16" s="95" t="str">
        <f t="shared" si="1"/>
        <v>-</v>
      </c>
      <c r="Y16" s="95" t="str">
        <f t="shared" si="16"/>
        <v>-</v>
      </c>
      <c r="Z16" s="123" t="str">
        <f t="shared" si="17"/>
        <v>-</v>
      </c>
      <c r="AA16" s="79" t="str">
        <f t="shared" si="18"/>
        <v/>
      </c>
      <c r="AB16" s="37"/>
      <c r="AC16" s="38"/>
      <c r="AD16" s="37"/>
      <c r="AE16" s="208" t="s">
        <v>89</v>
      </c>
      <c r="AF16" s="110" t="s">
        <v>162</v>
      </c>
      <c r="AG16" s="226"/>
      <c r="AH16" s="128">
        <f t="shared" si="2"/>
        <v>5</v>
      </c>
      <c r="AI16" s="128">
        <f t="shared" si="2"/>
        <v>3</v>
      </c>
      <c r="AJ16" s="128">
        <f t="shared" si="19"/>
        <v>15</v>
      </c>
      <c r="AK16" s="129" t="str">
        <f t="shared" si="20"/>
        <v/>
      </c>
      <c r="AL16" s="95" t="str">
        <f t="shared" si="3"/>
        <v>-</v>
      </c>
      <c r="AM16" s="95" t="str">
        <f t="shared" si="4"/>
        <v>-</v>
      </c>
      <c r="AN16" s="95" t="str">
        <f t="shared" si="21"/>
        <v>-</v>
      </c>
      <c r="AO16" s="123" t="str">
        <f t="shared" si="22"/>
        <v>-</v>
      </c>
      <c r="AP16" s="79" t="str">
        <f t="shared" si="23"/>
        <v/>
      </c>
    </row>
    <row r="17" spans="1:42" ht="24.95" customHeight="1" x14ac:dyDescent="0.3">
      <c r="A17" s="209"/>
      <c r="B17" s="110" t="s">
        <v>163</v>
      </c>
      <c r="C17" s="226"/>
      <c r="D17" s="114">
        <f t="shared" si="5"/>
        <v>36.666666666666664</v>
      </c>
      <c r="E17" s="66">
        <f t="shared" ref="E17:E21" si="36">F17/5</f>
        <v>22</v>
      </c>
      <c r="F17" s="66">
        <v>110</v>
      </c>
      <c r="G17" s="112"/>
      <c r="H17" s="95" t="str">
        <f t="shared" si="7"/>
        <v>-</v>
      </c>
      <c r="I17" s="95" t="str">
        <f t="shared" si="8"/>
        <v>-</v>
      </c>
      <c r="J17" s="95" t="str">
        <f t="shared" si="9"/>
        <v>-</v>
      </c>
      <c r="K17" s="123" t="str">
        <f t="shared" si="10"/>
        <v>-</v>
      </c>
      <c r="L17" s="79" t="str">
        <f t="shared" si="11"/>
        <v/>
      </c>
      <c r="M17" s="37"/>
      <c r="N17" s="38"/>
      <c r="O17" s="37"/>
      <c r="P17" s="209"/>
      <c r="Q17" s="110" t="s">
        <v>163</v>
      </c>
      <c r="R17" s="226"/>
      <c r="S17" s="127">
        <f t="shared" si="12"/>
        <v>24.444444444444454</v>
      </c>
      <c r="T17" s="127">
        <f t="shared" si="13"/>
        <v>14.666666666666673</v>
      </c>
      <c r="U17" s="127">
        <f t="shared" si="14"/>
        <v>73.333333333333371</v>
      </c>
      <c r="V17" s="129" t="str">
        <f t="shared" si="15"/>
        <v/>
      </c>
      <c r="W17" s="95" t="str">
        <f t="shared" si="0"/>
        <v>-</v>
      </c>
      <c r="X17" s="95" t="str">
        <f t="shared" si="1"/>
        <v>-</v>
      </c>
      <c r="Y17" s="95" t="str">
        <f t="shared" si="16"/>
        <v>-</v>
      </c>
      <c r="Z17" s="123" t="str">
        <f t="shared" si="17"/>
        <v>-</v>
      </c>
      <c r="AA17" s="79" t="str">
        <f t="shared" si="18"/>
        <v/>
      </c>
      <c r="AB17" s="37"/>
      <c r="AC17" s="38"/>
      <c r="AD17" s="37"/>
      <c r="AE17" s="209"/>
      <c r="AF17" s="110" t="s">
        <v>163</v>
      </c>
      <c r="AG17" s="226"/>
      <c r="AH17" s="128">
        <f t="shared" si="2"/>
        <v>18.333333333333332</v>
      </c>
      <c r="AI17" s="128">
        <f t="shared" si="2"/>
        <v>11</v>
      </c>
      <c r="AJ17" s="128">
        <f t="shared" si="19"/>
        <v>55</v>
      </c>
      <c r="AK17" s="129" t="str">
        <f t="shared" si="20"/>
        <v/>
      </c>
      <c r="AL17" s="95" t="str">
        <f t="shared" si="3"/>
        <v>-</v>
      </c>
      <c r="AM17" s="95" t="str">
        <f t="shared" si="4"/>
        <v>-</v>
      </c>
      <c r="AN17" s="95" t="str">
        <f t="shared" si="21"/>
        <v>-</v>
      </c>
      <c r="AO17" s="123" t="str">
        <f t="shared" si="22"/>
        <v>-</v>
      </c>
      <c r="AP17" s="79" t="str">
        <f t="shared" si="23"/>
        <v/>
      </c>
    </row>
    <row r="18" spans="1:42" ht="24.95" customHeight="1" x14ac:dyDescent="0.3">
      <c r="A18" s="210"/>
      <c r="B18" s="110" t="s">
        <v>193</v>
      </c>
      <c r="C18" s="226"/>
      <c r="D18" s="114">
        <f t="shared" ref="D18" si="37">F18/3</f>
        <v>60</v>
      </c>
      <c r="E18" s="66">
        <f>F18/5</f>
        <v>36</v>
      </c>
      <c r="F18" s="66">
        <v>180</v>
      </c>
      <c r="G18" s="112"/>
      <c r="H18" s="95" t="str">
        <f t="shared" si="7"/>
        <v>-</v>
      </c>
      <c r="I18" s="95" t="str">
        <f t="shared" si="8"/>
        <v>-</v>
      </c>
      <c r="J18" s="95" t="str">
        <f t="shared" si="9"/>
        <v>-</v>
      </c>
      <c r="K18" s="123" t="str">
        <f t="shared" si="10"/>
        <v>-</v>
      </c>
      <c r="L18" s="79" t="str">
        <f t="shared" si="11"/>
        <v/>
      </c>
      <c r="M18" s="37"/>
      <c r="N18" s="38"/>
      <c r="O18" s="37"/>
      <c r="P18" s="210"/>
      <c r="Q18" s="110" t="s">
        <v>193</v>
      </c>
      <c r="R18" s="226"/>
      <c r="S18" s="127">
        <f t="shared" si="12"/>
        <v>40.000000000000014</v>
      </c>
      <c r="T18" s="127">
        <f t="shared" si="13"/>
        <v>24.000000000000011</v>
      </c>
      <c r="U18" s="127">
        <f t="shared" si="14"/>
        <v>120.00000000000006</v>
      </c>
      <c r="V18" s="129" t="str">
        <f t="shared" si="15"/>
        <v/>
      </c>
      <c r="W18" s="95" t="str">
        <f t="shared" si="0"/>
        <v>-</v>
      </c>
      <c r="X18" s="95" t="str">
        <f t="shared" si="1"/>
        <v>-</v>
      </c>
      <c r="Y18" s="95" t="str">
        <f t="shared" si="16"/>
        <v>-</v>
      </c>
      <c r="Z18" s="123" t="str">
        <f t="shared" si="17"/>
        <v>-</v>
      </c>
      <c r="AA18" s="79" t="str">
        <f t="shared" si="18"/>
        <v/>
      </c>
      <c r="AB18" s="37"/>
      <c r="AC18" s="38"/>
      <c r="AD18" s="37"/>
      <c r="AE18" s="210"/>
      <c r="AF18" s="110" t="s">
        <v>193</v>
      </c>
      <c r="AG18" s="226"/>
      <c r="AH18" s="128">
        <f t="shared" si="2"/>
        <v>30</v>
      </c>
      <c r="AI18" s="128">
        <f t="shared" si="2"/>
        <v>18</v>
      </c>
      <c r="AJ18" s="128">
        <f t="shared" si="19"/>
        <v>90</v>
      </c>
      <c r="AK18" s="129" t="str">
        <f t="shared" si="20"/>
        <v/>
      </c>
      <c r="AL18" s="95" t="str">
        <f t="shared" si="3"/>
        <v>-</v>
      </c>
      <c r="AM18" s="95" t="str">
        <f t="shared" si="4"/>
        <v>-</v>
      </c>
      <c r="AN18" s="95" t="str">
        <f t="shared" si="21"/>
        <v>-</v>
      </c>
      <c r="AO18" s="123" t="str">
        <f t="shared" si="22"/>
        <v>-</v>
      </c>
      <c r="AP18" s="79"/>
    </row>
    <row r="19" spans="1:42" ht="24.95" customHeight="1" x14ac:dyDescent="0.3">
      <c r="A19" s="208" t="s">
        <v>151</v>
      </c>
      <c r="B19" s="110" t="s">
        <v>152</v>
      </c>
      <c r="C19" s="226"/>
      <c r="D19" s="95">
        <f t="shared" si="5"/>
        <v>0.19999999999999998</v>
      </c>
      <c r="E19" s="66">
        <f t="shared" si="36"/>
        <v>0.12</v>
      </c>
      <c r="F19" s="66">
        <v>0.6</v>
      </c>
      <c r="G19" s="112"/>
      <c r="H19" s="95" t="str">
        <f t="shared" si="7"/>
        <v>-</v>
      </c>
      <c r="I19" s="95" t="str">
        <f t="shared" si="8"/>
        <v>-</v>
      </c>
      <c r="J19" s="95" t="str">
        <f t="shared" si="9"/>
        <v>-</v>
      </c>
      <c r="K19" s="123" t="str">
        <f t="shared" si="10"/>
        <v>-</v>
      </c>
      <c r="L19" s="79" t="str">
        <f t="shared" si="11"/>
        <v/>
      </c>
      <c r="M19" s="37"/>
      <c r="N19" s="38"/>
      <c r="O19" s="37"/>
      <c r="P19" s="208" t="s">
        <v>151</v>
      </c>
      <c r="Q19" s="110" t="s">
        <v>152</v>
      </c>
      <c r="R19" s="226"/>
      <c r="S19" s="127">
        <f t="shared" si="12"/>
        <v>0.13333333333333339</v>
      </c>
      <c r="T19" s="127">
        <f t="shared" si="13"/>
        <v>8.0000000000000029E-2</v>
      </c>
      <c r="U19" s="127">
        <f t="shared" si="14"/>
        <v>0.40000000000000019</v>
      </c>
      <c r="V19" s="129" t="str">
        <f t="shared" si="15"/>
        <v/>
      </c>
      <c r="W19" s="95" t="str">
        <f>IF(V19="","-",V19*$S$4)</f>
        <v>-</v>
      </c>
      <c r="X19" s="95" t="str">
        <f>IF(V19="","-",V19*$U$4)</f>
        <v>-</v>
      </c>
      <c r="Y19" s="95" t="str">
        <f t="shared" si="16"/>
        <v>-</v>
      </c>
      <c r="Z19" s="123" t="str">
        <f t="shared" si="17"/>
        <v>-</v>
      </c>
      <c r="AA19" s="79" t="str">
        <f t="shared" si="18"/>
        <v/>
      </c>
      <c r="AB19" s="37"/>
      <c r="AC19" s="38"/>
      <c r="AD19" s="37"/>
      <c r="AE19" s="208" t="s">
        <v>151</v>
      </c>
      <c r="AF19" s="110" t="s">
        <v>152</v>
      </c>
      <c r="AG19" s="226"/>
      <c r="AH19" s="128">
        <f t="shared" si="2"/>
        <v>9.9999999999999992E-2</v>
      </c>
      <c r="AI19" s="128">
        <f t="shared" si="2"/>
        <v>0.06</v>
      </c>
      <c r="AJ19" s="128">
        <f t="shared" si="19"/>
        <v>0.3</v>
      </c>
      <c r="AK19" s="129" t="str">
        <f t="shared" si="20"/>
        <v/>
      </c>
      <c r="AL19" s="95" t="str">
        <f>IF(AK19="","-",AK19*$AH$4)</f>
        <v>-</v>
      </c>
      <c r="AM19" s="95" t="str">
        <f>IF(AK19="","-",AK19*$AJ$4)</f>
        <v>-</v>
      </c>
      <c r="AN19" s="95" t="str">
        <f t="shared" si="21"/>
        <v>-</v>
      </c>
      <c r="AO19" s="123" t="str">
        <f t="shared" si="22"/>
        <v>-</v>
      </c>
      <c r="AP19" s="79" t="str">
        <f t="shared" si="23"/>
        <v/>
      </c>
    </row>
    <row r="20" spans="1:42" ht="24.95" customHeight="1" x14ac:dyDescent="0.3">
      <c r="A20" s="209"/>
      <c r="B20" s="110" t="s">
        <v>164</v>
      </c>
      <c r="C20" s="226"/>
      <c r="D20" s="95">
        <f t="shared" si="5"/>
        <v>20</v>
      </c>
      <c r="E20" s="66">
        <f t="shared" si="36"/>
        <v>12</v>
      </c>
      <c r="F20" s="66">
        <v>60</v>
      </c>
      <c r="G20" s="112"/>
      <c r="H20" s="95" t="str">
        <f t="shared" si="7"/>
        <v>-</v>
      </c>
      <c r="I20" s="95" t="str">
        <f t="shared" si="8"/>
        <v>-</v>
      </c>
      <c r="J20" s="95" t="str">
        <f t="shared" si="9"/>
        <v>-</v>
      </c>
      <c r="K20" s="123" t="str">
        <f t="shared" si="10"/>
        <v>-</v>
      </c>
      <c r="L20" s="79" t="str">
        <f t="shared" si="11"/>
        <v/>
      </c>
      <c r="M20" s="37"/>
      <c r="N20" s="38"/>
      <c r="O20" s="37"/>
      <c r="P20" s="209"/>
      <c r="Q20" s="110" t="s">
        <v>164</v>
      </c>
      <c r="R20" s="226"/>
      <c r="S20" s="127">
        <f t="shared" si="12"/>
        <v>13.333333333333339</v>
      </c>
      <c r="T20" s="127">
        <f t="shared" si="13"/>
        <v>8.0000000000000036</v>
      </c>
      <c r="U20" s="127">
        <f t="shared" si="14"/>
        <v>40.000000000000014</v>
      </c>
      <c r="V20" s="129" t="str">
        <f t="shared" si="15"/>
        <v/>
      </c>
      <c r="W20" s="95" t="str">
        <f t="shared" ref="W20:W26" si="38">IF(V20="","-",V20*$S$4)</f>
        <v>-</v>
      </c>
      <c r="X20" s="95" t="str">
        <f t="shared" ref="X20:X26" si="39">IF(V20="","-",V20*$U$4)</f>
        <v>-</v>
      </c>
      <c r="Y20" s="95" t="str">
        <f t="shared" si="16"/>
        <v>-</v>
      </c>
      <c r="Z20" s="123" t="str">
        <f t="shared" si="17"/>
        <v>-</v>
      </c>
      <c r="AA20" s="79" t="str">
        <f t="shared" si="18"/>
        <v/>
      </c>
      <c r="AB20" s="37"/>
      <c r="AC20" s="38"/>
      <c r="AD20" s="37"/>
      <c r="AE20" s="209"/>
      <c r="AF20" s="110" t="s">
        <v>164</v>
      </c>
      <c r="AG20" s="226"/>
      <c r="AH20" s="128">
        <f t="shared" si="2"/>
        <v>10</v>
      </c>
      <c r="AI20" s="128">
        <f t="shared" si="2"/>
        <v>6</v>
      </c>
      <c r="AJ20" s="128">
        <f t="shared" si="19"/>
        <v>30</v>
      </c>
      <c r="AK20" s="129" t="str">
        <f t="shared" si="20"/>
        <v/>
      </c>
      <c r="AL20" s="95" t="str">
        <f t="shared" ref="AL20:AL26" si="40">IF(AK20="","-",AK20*$AH$4)</f>
        <v>-</v>
      </c>
      <c r="AM20" s="95" t="str">
        <f t="shared" ref="AM20:AM26" si="41">IF(AK20="","-",AK20*$AJ$4)</f>
        <v>-</v>
      </c>
      <c r="AN20" s="95" t="str">
        <f t="shared" si="21"/>
        <v>-</v>
      </c>
      <c r="AO20" s="123" t="str">
        <f t="shared" si="22"/>
        <v>-</v>
      </c>
      <c r="AP20" s="79" t="str">
        <f t="shared" si="23"/>
        <v/>
      </c>
    </row>
    <row r="21" spans="1:42" ht="24.95" customHeight="1" x14ac:dyDescent="0.3">
      <c r="A21" s="210"/>
      <c r="B21" s="110" t="s">
        <v>165</v>
      </c>
      <c r="C21" s="226"/>
      <c r="D21" s="95">
        <f t="shared" si="5"/>
        <v>20</v>
      </c>
      <c r="E21" s="66">
        <f t="shared" si="36"/>
        <v>12</v>
      </c>
      <c r="F21" s="66">
        <v>60</v>
      </c>
      <c r="G21" s="112"/>
      <c r="H21" s="95" t="str">
        <f t="shared" si="7"/>
        <v>-</v>
      </c>
      <c r="I21" s="95" t="str">
        <f t="shared" si="8"/>
        <v>-</v>
      </c>
      <c r="J21" s="95" t="str">
        <f t="shared" si="9"/>
        <v>-</v>
      </c>
      <c r="K21" s="123" t="str">
        <f t="shared" si="10"/>
        <v>-</v>
      </c>
      <c r="L21" s="79" t="str">
        <f t="shared" si="11"/>
        <v/>
      </c>
      <c r="M21" s="37"/>
      <c r="N21" s="38"/>
      <c r="O21" s="37"/>
      <c r="P21" s="210"/>
      <c r="Q21" s="110" t="s">
        <v>165</v>
      </c>
      <c r="R21" s="226"/>
      <c r="S21" s="127">
        <f t="shared" si="12"/>
        <v>13.333333333333339</v>
      </c>
      <c r="T21" s="127">
        <f t="shared" si="13"/>
        <v>8.0000000000000036</v>
      </c>
      <c r="U21" s="127">
        <f t="shared" si="14"/>
        <v>40.000000000000014</v>
      </c>
      <c r="V21" s="129" t="str">
        <f t="shared" si="15"/>
        <v/>
      </c>
      <c r="W21" s="95" t="str">
        <f t="shared" si="38"/>
        <v>-</v>
      </c>
      <c r="X21" s="95" t="str">
        <f t="shared" si="39"/>
        <v>-</v>
      </c>
      <c r="Y21" s="95" t="str">
        <f t="shared" si="16"/>
        <v>-</v>
      </c>
      <c r="Z21" s="123" t="str">
        <f t="shared" si="17"/>
        <v>-</v>
      </c>
      <c r="AA21" s="79" t="str">
        <f t="shared" si="18"/>
        <v/>
      </c>
      <c r="AB21" s="37"/>
      <c r="AC21" s="38"/>
      <c r="AD21" s="37"/>
      <c r="AE21" s="210"/>
      <c r="AF21" s="110" t="s">
        <v>165</v>
      </c>
      <c r="AG21" s="226"/>
      <c r="AH21" s="128">
        <f t="shared" si="2"/>
        <v>10</v>
      </c>
      <c r="AI21" s="128">
        <f t="shared" si="2"/>
        <v>6</v>
      </c>
      <c r="AJ21" s="128">
        <f t="shared" si="19"/>
        <v>30</v>
      </c>
      <c r="AK21" s="129" t="str">
        <f t="shared" si="20"/>
        <v/>
      </c>
      <c r="AL21" s="95" t="str">
        <f t="shared" si="40"/>
        <v>-</v>
      </c>
      <c r="AM21" s="95" t="str">
        <f t="shared" si="41"/>
        <v>-</v>
      </c>
      <c r="AN21" s="95" t="str">
        <f t="shared" si="21"/>
        <v>-</v>
      </c>
      <c r="AO21" s="123" t="str">
        <f t="shared" si="22"/>
        <v>-</v>
      </c>
      <c r="AP21" s="79" t="str">
        <f t="shared" si="23"/>
        <v/>
      </c>
    </row>
    <row r="22" spans="1:42" ht="37.5" customHeight="1" x14ac:dyDescent="0.3">
      <c r="A22" s="77" t="s">
        <v>22</v>
      </c>
      <c r="B22" s="113" t="s">
        <v>168</v>
      </c>
      <c r="C22" s="226"/>
      <c r="D22" s="114">
        <f t="shared" si="5"/>
        <v>66.666666666666671</v>
      </c>
      <c r="E22" s="66">
        <f>F22/10</f>
        <v>20</v>
      </c>
      <c r="F22" s="66">
        <v>200</v>
      </c>
      <c r="G22" s="112"/>
      <c r="H22" s="95" t="str">
        <f t="shared" si="7"/>
        <v>-</v>
      </c>
      <c r="I22" s="95" t="str">
        <f t="shared" si="8"/>
        <v>-</v>
      </c>
      <c r="J22" s="95" t="str">
        <f t="shared" si="9"/>
        <v>-</v>
      </c>
      <c r="K22" s="123" t="str">
        <f t="shared" si="10"/>
        <v>-</v>
      </c>
      <c r="L22" s="79" t="str">
        <f t="shared" si="11"/>
        <v/>
      </c>
      <c r="M22" s="37"/>
      <c r="N22" s="38"/>
      <c r="O22" s="37"/>
      <c r="P22" s="77" t="s">
        <v>22</v>
      </c>
      <c r="Q22" s="113" t="s">
        <v>168</v>
      </c>
      <c r="R22" s="226"/>
      <c r="S22" s="127">
        <f t="shared" si="12"/>
        <v>44.444444444444464</v>
      </c>
      <c r="T22" s="127">
        <f t="shared" si="13"/>
        <v>13.333333333333339</v>
      </c>
      <c r="U22" s="127">
        <f t="shared" si="14"/>
        <v>133.3333333333334</v>
      </c>
      <c r="V22" s="129" t="str">
        <f t="shared" si="15"/>
        <v/>
      </c>
      <c r="W22" s="95" t="str">
        <f t="shared" si="38"/>
        <v>-</v>
      </c>
      <c r="X22" s="95" t="str">
        <f t="shared" si="39"/>
        <v>-</v>
      </c>
      <c r="Y22" s="95" t="str">
        <f t="shared" si="16"/>
        <v>-</v>
      </c>
      <c r="Z22" s="123" t="str">
        <f t="shared" si="17"/>
        <v>-</v>
      </c>
      <c r="AA22" s="79" t="str">
        <f t="shared" si="18"/>
        <v/>
      </c>
      <c r="AB22" s="37"/>
      <c r="AC22" s="38"/>
      <c r="AD22" s="37"/>
      <c r="AE22" s="77" t="s">
        <v>22</v>
      </c>
      <c r="AF22" s="113" t="s">
        <v>168</v>
      </c>
      <c r="AG22" s="226"/>
      <c r="AH22" s="128">
        <f t="shared" si="2"/>
        <v>33.333333333333336</v>
      </c>
      <c r="AI22" s="128">
        <f t="shared" si="2"/>
        <v>10</v>
      </c>
      <c r="AJ22" s="128">
        <f t="shared" si="19"/>
        <v>100</v>
      </c>
      <c r="AK22" s="129" t="str">
        <f t="shared" si="20"/>
        <v/>
      </c>
      <c r="AL22" s="95" t="str">
        <f t="shared" si="40"/>
        <v>-</v>
      </c>
      <c r="AM22" s="95" t="str">
        <f t="shared" si="41"/>
        <v>-</v>
      </c>
      <c r="AN22" s="95" t="str">
        <f t="shared" si="21"/>
        <v>-</v>
      </c>
      <c r="AO22" s="123" t="str">
        <f t="shared" si="22"/>
        <v>-</v>
      </c>
      <c r="AP22" s="79" t="str">
        <f t="shared" si="23"/>
        <v/>
      </c>
    </row>
    <row r="23" spans="1:42" ht="24.95" customHeight="1" x14ac:dyDescent="0.3">
      <c r="A23" s="242" t="s">
        <v>23</v>
      </c>
      <c r="B23" s="110" t="s">
        <v>166</v>
      </c>
      <c r="C23" s="226"/>
      <c r="D23" s="114">
        <f t="shared" si="5"/>
        <v>1666.6666666666667</v>
      </c>
      <c r="E23" s="66">
        <f t="shared" ref="E23:E24" si="42">F23/10</f>
        <v>500</v>
      </c>
      <c r="F23" s="66">
        <v>5000</v>
      </c>
      <c r="G23" s="112"/>
      <c r="H23" s="95" t="str">
        <f t="shared" si="7"/>
        <v>-</v>
      </c>
      <c r="I23" s="95" t="str">
        <f t="shared" si="8"/>
        <v>-</v>
      </c>
      <c r="J23" s="95" t="str">
        <f t="shared" si="9"/>
        <v>-</v>
      </c>
      <c r="K23" s="123" t="str">
        <f t="shared" si="10"/>
        <v>-</v>
      </c>
      <c r="L23" s="79" t="str">
        <f t="shared" si="11"/>
        <v/>
      </c>
      <c r="M23" s="37"/>
      <c r="N23" s="38"/>
      <c r="O23" s="37"/>
      <c r="P23" s="242" t="s">
        <v>23</v>
      </c>
      <c r="Q23" s="110" t="s">
        <v>166</v>
      </c>
      <c r="R23" s="226"/>
      <c r="S23" s="127">
        <f t="shared" si="12"/>
        <v>1111.1111111111118</v>
      </c>
      <c r="T23" s="127">
        <f t="shared" si="13"/>
        <v>333.33333333333348</v>
      </c>
      <c r="U23" s="127">
        <f t="shared" si="14"/>
        <v>3333.3333333333348</v>
      </c>
      <c r="V23" s="129" t="str">
        <f t="shared" si="15"/>
        <v/>
      </c>
      <c r="W23" s="95" t="str">
        <f t="shared" si="38"/>
        <v>-</v>
      </c>
      <c r="X23" s="95" t="str">
        <f t="shared" si="39"/>
        <v>-</v>
      </c>
      <c r="Y23" s="95" t="str">
        <f t="shared" si="16"/>
        <v>-</v>
      </c>
      <c r="Z23" s="123" t="str">
        <f t="shared" si="17"/>
        <v>-</v>
      </c>
      <c r="AA23" s="79" t="str">
        <f t="shared" si="18"/>
        <v/>
      </c>
      <c r="AB23" s="37"/>
      <c r="AC23" s="38"/>
      <c r="AD23" s="37"/>
      <c r="AE23" s="242" t="s">
        <v>23</v>
      </c>
      <c r="AF23" s="110" t="s">
        <v>166</v>
      </c>
      <c r="AG23" s="226"/>
      <c r="AH23" s="128">
        <f t="shared" si="2"/>
        <v>833.33333333333337</v>
      </c>
      <c r="AI23" s="128">
        <f t="shared" si="2"/>
        <v>250</v>
      </c>
      <c r="AJ23" s="128">
        <f t="shared" si="19"/>
        <v>2500</v>
      </c>
      <c r="AK23" s="129" t="str">
        <f t="shared" si="20"/>
        <v/>
      </c>
      <c r="AL23" s="95" t="str">
        <f t="shared" si="40"/>
        <v>-</v>
      </c>
      <c r="AM23" s="95" t="str">
        <f t="shared" si="41"/>
        <v>-</v>
      </c>
      <c r="AN23" s="95" t="str">
        <f t="shared" si="21"/>
        <v>-</v>
      </c>
      <c r="AO23" s="123" t="str">
        <f t="shared" si="22"/>
        <v>-</v>
      </c>
      <c r="AP23" s="79" t="str">
        <f t="shared" si="23"/>
        <v/>
      </c>
    </row>
    <row r="24" spans="1:42" ht="24.95" customHeight="1" x14ac:dyDescent="0.3">
      <c r="A24" s="243"/>
      <c r="B24" s="110" t="s">
        <v>167</v>
      </c>
      <c r="C24" s="226"/>
      <c r="D24" s="95">
        <f t="shared" si="5"/>
        <v>500</v>
      </c>
      <c r="E24" s="66">
        <f t="shared" si="42"/>
        <v>150</v>
      </c>
      <c r="F24" s="66">
        <v>1500</v>
      </c>
      <c r="G24" s="112"/>
      <c r="H24" s="95" t="str">
        <f t="shared" si="7"/>
        <v>-</v>
      </c>
      <c r="I24" s="95" t="str">
        <f t="shared" si="8"/>
        <v>-</v>
      </c>
      <c r="J24" s="95" t="str">
        <f t="shared" si="9"/>
        <v>-</v>
      </c>
      <c r="K24" s="123" t="str">
        <f t="shared" si="10"/>
        <v>-</v>
      </c>
      <c r="L24" s="79" t="str">
        <f t="shared" si="11"/>
        <v/>
      </c>
      <c r="M24" s="37"/>
      <c r="N24" s="38"/>
      <c r="O24" s="37"/>
      <c r="P24" s="243"/>
      <c r="Q24" s="110" t="s">
        <v>167</v>
      </c>
      <c r="R24" s="226"/>
      <c r="S24" s="127">
        <f t="shared" si="12"/>
        <v>333.33333333333348</v>
      </c>
      <c r="T24" s="127">
        <f t="shared" si="13"/>
        <v>100.00000000000004</v>
      </c>
      <c r="U24" s="127">
        <f t="shared" si="14"/>
        <v>1000.0000000000005</v>
      </c>
      <c r="V24" s="129" t="str">
        <f t="shared" si="15"/>
        <v/>
      </c>
      <c r="W24" s="95" t="str">
        <f t="shared" si="38"/>
        <v>-</v>
      </c>
      <c r="X24" s="95" t="str">
        <f t="shared" si="39"/>
        <v>-</v>
      </c>
      <c r="Y24" s="95" t="str">
        <f t="shared" si="16"/>
        <v>-</v>
      </c>
      <c r="Z24" s="123" t="str">
        <f t="shared" si="17"/>
        <v>-</v>
      </c>
      <c r="AA24" s="79" t="str">
        <f t="shared" si="18"/>
        <v/>
      </c>
      <c r="AB24" s="37"/>
      <c r="AC24" s="38"/>
      <c r="AD24" s="37"/>
      <c r="AE24" s="243"/>
      <c r="AF24" s="110" t="s">
        <v>167</v>
      </c>
      <c r="AG24" s="226"/>
      <c r="AH24" s="128">
        <f t="shared" si="2"/>
        <v>250</v>
      </c>
      <c r="AI24" s="128">
        <f t="shared" si="2"/>
        <v>75</v>
      </c>
      <c r="AJ24" s="128">
        <f t="shared" si="19"/>
        <v>750</v>
      </c>
      <c r="AK24" s="129" t="str">
        <f t="shared" si="20"/>
        <v/>
      </c>
      <c r="AL24" s="95" t="str">
        <f t="shared" si="40"/>
        <v>-</v>
      </c>
      <c r="AM24" s="95" t="str">
        <f t="shared" si="41"/>
        <v>-</v>
      </c>
      <c r="AN24" s="95" t="str">
        <f t="shared" si="21"/>
        <v>-</v>
      </c>
      <c r="AO24" s="123" t="str">
        <f t="shared" si="22"/>
        <v>-</v>
      </c>
      <c r="AP24" s="79" t="str">
        <f t="shared" si="23"/>
        <v/>
      </c>
    </row>
    <row r="25" spans="1:42" ht="24.95" customHeight="1" x14ac:dyDescent="0.3">
      <c r="A25" s="208" t="s">
        <v>90</v>
      </c>
      <c r="B25" s="110" t="s">
        <v>63</v>
      </c>
      <c r="C25" s="226"/>
      <c r="D25" s="95">
        <f t="shared" si="5"/>
        <v>100</v>
      </c>
      <c r="E25" s="66">
        <f>F25/5</f>
        <v>60</v>
      </c>
      <c r="F25" s="66">
        <f>IF(COUNTA(G16:G18)&gt;=1,150,300)</f>
        <v>300</v>
      </c>
      <c r="G25" s="112"/>
      <c r="H25" s="95" t="str">
        <f t="shared" si="7"/>
        <v>-</v>
      </c>
      <c r="I25" s="95" t="str">
        <f t="shared" si="8"/>
        <v>-</v>
      </c>
      <c r="J25" s="95" t="str">
        <f t="shared" si="9"/>
        <v>-</v>
      </c>
      <c r="K25" s="123" t="str">
        <f t="shared" si="10"/>
        <v>-</v>
      </c>
      <c r="L25" s="79" t="str">
        <f t="shared" si="11"/>
        <v/>
      </c>
      <c r="M25" s="37"/>
      <c r="N25" s="38"/>
      <c r="O25" s="37"/>
      <c r="P25" s="208" t="s">
        <v>90</v>
      </c>
      <c r="Q25" s="110" t="s">
        <v>63</v>
      </c>
      <c r="R25" s="226"/>
      <c r="S25" s="127">
        <f t="shared" si="12"/>
        <v>66.6666666666667</v>
      </c>
      <c r="T25" s="127">
        <f t="shared" si="13"/>
        <v>40.000000000000014</v>
      </c>
      <c r="U25" s="127">
        <f t="shared" si="14"/>
        <v>200.00000000000009</v>
      </c>
      <c r="V25" s="129" t="str">
        <f t="shared" si="15"/>
        <v/>
      </c>
      <c r="W25" s="95" t="str">
        <f t="shared" si="38"/>
        <v>-</v>
      </c>
      <c r="X25" s="95" t="str">
        <f t="shared" si="39"/>
        <v>-</v>
      </c>
      <c r="Y25" s="95" t="str">
        <f t="shared" si="16"/>
        <v>-</v>
      </c>
      <c r="Z25" s="123" t="str">
        <f t="shared" si="17"/>
        <v>-</v>
      </c>
      <c r="AA25" s="79" t="str">
        <f t="shared" si="18"/>
        <v/>
      </c>
      <c r="AB25" s="37"/>
      <c r="AC25" s="38"/>
      <c r="AD25" s="37"/>
      <c r="AE25" s="208" t="s">
        <v>90</v>
      </c>
      <c r="AF25" s="110" t="s">
        <v>63</v>
      </c>
      <c r="AG25" s="226"/>
      <c r="AH25" s="128">
        <f t="shared" si="2"/>
        <v>50</v>
      </c>
      <c r="AI25" s="128">
        <f t="shared" si="2"/>
        <v>30</v>
      </c>
      <c r="AJ25" s="128">
        <f t="shared" si="19"/>
        <v>150</v>
      </c>
      <c r="AK25" s="129" t="str">
        <f t="shared" si="20"/>
        <v/>
      </c>
      <c r="AL25" s="95" t="str">
        <f t="shared" si="40"/>
        <v>-</v>
      </c>
      <c r="AM25" s="95" t="str">
        <f t="shared" si="41"/>
        <v>-</v>
      </c>
      <c r="AN25" s="95" t="str">
        <f t="shared" si="21"/>
        <v>-</v>
      </c>
      <c r="AO25" s="123" t="str">
        <f t="shared" si="22"/>
        <v>-</v>
      </c>
      <c r="AP25" s="79" t="str">
        <f t="shared" si="23"/>
        <v/>
      </c>
    </row>
    <row r="26" spans="1:42" ht="24.95" customHeight="1" thickBot="1" x14ac:dyDescent="0.35">
      <c r="A26" s="210"/>
      <c r="B26" s="110" t="s">
        <v>64</v>
      </c>
      <c r="C26" s="227"/>
      <c r="D26" s="95">
        <f t="shared" si="5"/>
        <v>100</v>
      </c>
      <c r="E26" s="66">
        <f>F26/5</f>
        <v>60</v>
      </c>
      <c r="F26" s="66">
        <f>IF(COUNTA(G16:G18)&gt;=1,150,300)</f>
        <v>300</v>
      </c>
      <c r="G26" s="112"/>
      <c r="H26" s="95" t="str">
        <f t="shared" si="7"/>
        <v>-</v>
      </c>
      <c r="I26" s="95" t="str">
        <f t="shared" si="8"/>
        <v>-</v>
      </c>
      <c r="J26" s="95" t="str">
        <f t="shared" si="9"/>
        <v>-</v>
      </c>
      <c r="K26" s="123" t="str">
        <f t="shared" si="10"/>
        <v>-</v>
      </c>
      <c r="L26" s="76" t="str">
        <f>IF(G26="","",IF(AND(F26&gt;=K26,E26&lt;=J26,D26&gt;=I26),"O","X"))</f>
        <v/>
      </c>
      <c r="M26" s="37"/>
      <c r="N26" s="38"/>
      <c r="O26" s="37"/>
      <c r="P26" s="210"/>
      <c r="Q26" s="110" t="s">
        <v>64</v>
      </c>
      <c r="R26" s="227"/>
      <c r="S26" s="127">
        <f t="shared" si="12"/>
        <v>66.6666666666667</v>
      </c>
      <c r="T26" s="127">
        <f t="shared" si="13"/>
        <v>40.000000000000014</v>
      </c>
      <c r="U26" s="127">
        <f t="shared" si="14"/>
        <v>200.00000000000009</v>
      </c>
      <c r="V26" s="129" t="str">
        <f t="shared" si="15"/>
        <v/>
      </c>
      <c r="W26" s="95" t="str">
        <f t="shared" si="38"/>
        <v>-</v>
      </c>
      <c r="X26" s="95" t="str">
        <f t="shared" si="39"/>
        <v>-</v>
      </c>
      <c r="Y26" s="95" t="str">
        <f t="shared" si="16"/>
        <v>-</v>
      </c>
      <c r="Z26" s="123" t="str">
        <f t="shared" si="17"/>
        <v>-</v>
      </c>
      <c r="AA26" s="76" t="str">
        <f t="shared" si="18"/>
        <v/>
      </c>
      <c r="AB26" s="37"/>
      <c r="AC26" s="38"/>
      <c r="AD26" s="37"/>
      <c r="AE26" s="210"/>
      <c r="AF26" s="110" t="s">
        <v>64</v>
      </c>
      <c r="AG26" s="227"/>
      <c r="AH26" s="128">
        <f t="shared" ref="AH26:AI26" si="43">D26*$AG$7</f>
        <v>50</v>
      </c>
      <c r="AI26" s="128">
        <f t="shared" si="43"/>
        <v>30</v>
      </c>
      <c r="AJ26" s="128">
        <f t="shared" si="19"/>
        <v>150</v>
      </c>
      <c r="AK26" s="129" t="str">
        <f t="shared" si="20"/>
        <v/>
      </c>
      <c r="AL26" s="95" t="str">
        <f t="shared" si="40"/>
        <v>-</v>
      </c>
      <c r="AM26" s="95" t="str">
        <f t="shared" si="41"/>
        <v>-</v>
      </c>
      <c r="AN26" s="95" t="str">
        <f t="shared" si="21"/>
        <v>-</v>
      </c>
      <c r="AO26" s="123" t="str">
        <f t="shared" si="22"/>
        <v>-</v>
      </c>
      <c r="AP26" s="76" t="str">
        <f t="shared" si="23"/>
        <v/>
      </c>
    </row>
    <row r="27" spans="1:42" ht="18" thickTop="1" thickBot="1" x14ac:dyDescent="0.35"/>
    <row r="28" spans="1:42" ht="24.95" customHeight="1" thickTop="1" x14ac:dyDescent="0.3">
      <c r="A28" s="238" t="s">
        <v>111</v>
      </c>
      <c r="B28" s="238"/>
      <c r="C28" s="238"/>
      <c r="D28" s="238"/>
      <c r="E28" s="238"/>
      <c r="F28" s="238"/>
      <c r="G28" s="238"/>
      <c r="H28" s="238"/>
      <c r="I28" s="238"/>
      <c r="J28" s="238"/>
      <c r="K28" s="239"/>
      <c r="L28" s="91" t="s">
        <v>154</v>
      </c>
      <c r="M28" s="120"/>
      <c r="P28" s="244"/>
      <c r="Q28" s="244"/>
      <c r="R28" s="244"/>
      <c r="S28" s="244"/>
      <c r="T28" s="244"/>
      <c r="U28" s="244"/>
      <c r="V28" s="244"/>
      <c r="W28" s="244"/>
      <c r="X28" s="244"/>
      <c r="Y28" s="244"/>
      <c r="Z28" s="124"/>
      <c r="AA28" s="125"/>
      <c r="AB28" s="120"/>
      <c r="AE28" s="244"/>
      <c r="AF28" s="244"/>
      <c r="AG28" s="244"/>
      <c r="AH28" s="244"/>
      <c r="AI28" s="244"/>
      <c r="AJ28" s="244"/>
      <c r="AK28" s="244"/>
      <c r="AL28" s="244"/>
      <c r="AM28" s="244"/>
      <c r="AN28" s="244"/>
      <c r="AO28" s="124"/>
      <c r="AP28" s="125"/>
    </row>
    <row r="29" spans="1:42" ht="26.25" customHeight="1" x14ac:dyDescent="0.3">
      <c r="A29" s="240" t="s">
        <v>155</v>
      </c>
      <c r="B29" s="240"/>
      <c r="C29" s="240"/>
      <c r="D29" s="240"/>
      <c r="E29" s="240"/>
      <c r="F29" s="240"/>
      <c r="G29" s="240"/>
      <c r="H29" s="240"/>
      <c r="I29" s="240"/>
      <c r="J29" s="240"/>
      <c r="K29" s="192"/>
      <c r="L29" s="121" t="str">
        <f>IF(COUNT(G10:G26)=0,"",IF(COUNTA(G10:G15)&gt;=1,"O","X"))</f>
        <v/>
      </c>
      <c r="P29" s="234"/>
      <c r="Q29" s="234"/>
      <c r="R29" s="234"/>
      <c r="S29" s="234"/>
      <c r="T29" s="234"/>
      <c r="U29" s="234"/>
      <c r="V29" s="234"/>
      <c r="W29" s="234"/>
      <c r="X29" s="234"/>
      <c r="Y29" s="234"/>
      <c r="Z29" s="109"/>
      <c r="AE29" s="234"/>
      <c r="AF29" s="234"/>
      <c r="AG29" s="234"/>
      <c r="AH29" s="234"/>
      <c r="AI29" s="234"/>
      <c r="AJ29" s="234"/>
      <c r="AK29" s="234"/>
      <c r="AL29" s="234"/>
      <c r="AM29" s="234"/>
      <c r="AN29" s="234"/>
      <c r="AO29" s="109"/>
    </row>
    <row r="30" spans="1:42" ht="26.25" customHeight="1" x14ac:dyDescent="0.3">
      <c r="A30" s="240" t="s">
        <v>156</v>
      </c>
      <c r="B30" s="240"/>
      <c r="C30" s="240"/>
      <c r="D30" s="240"/>
      <c r="E30" s="240"/>
      <c r="F30" s="240"/>
      <c r="G30" s="240"/>
      <c r="H30" s="240"/>
      <c r="I30" s="240"/>
      <c r="J30" s="240"/>
      <c r="K30" s="192"/>
      <c r="L30" s="121" t="str">
        <f>IF(COUNT(G10:G26)=0,"",IF(OR(COUNTA(G10:G15)&gt;1,COUNTA(G22:G24)&gt;1,COUNTA(G25:G26)&gt;1),"X","O"))</f>
        <v/>
      </c>
      <c r="P30" s="234"/>
      <c r="Q30" s="234"/>
      <c r="R30" s="234"/>
      <c r="S30" s="234"/>
      <c r="T30" s="234"/>
      <c r="U30" s="234"/>
      <c r="V30" s="234"/>
      <c r="W30" s="234"/>
      <c r="X30" s="234"/>
      <c r="Y30" s="234"/>
      <c r="Z30" s="109"/>
      <c r="AE30" s="234"/>
      <c r="AF30" s="234"/>
      <c r="AG30" s="234"/>
      <c r="AH30" s="234"/>
      <c r="AI30" s="234"/>
      <c r="AJ30" s="234"/>
      <c r="AK30" s="234"/>
      <c r="AL30" s="234"/>
      <c r="AM30" s="234"/>
      <c r="AN30" s="234"/>
      <c r="AO30" s="109"/>
    </row>
    <row r="31" spans="1:42" ht="26.25" customHeight="1" x14ac:dyDescent="0.3">
      <c r="A31" s="241" t="s">
        <v>202</v>
      </c>
      <c r="B31" s="240"/>
      <c r="C31" s="240"/>
      <c r="D31" s="240"/>
      <c r="E31" s="240"/>
      <c r="F31" s="240"/>
      <c r="G31" s="240"/>
      <c r="H31" s="240"/>
      <c r="I31" s="240"/>
      <c r="J31" s="240"/>
      <c r="K31" s="192"/>
      <c r="L31" s="121" t="str">
        <f>IF(COUNT(G10:G26)=0,"",IF(OR(COUNTA(G16:G18)&gt;2, COUNTA(G19:G21)&gt;1),"X","O"))</f>
        <v/>
      </c>
      <c r="P31" s="234"/>
      <c r="Q31" s="234"/>
      <c r="R31" s="234"/>
      <c r="S31" s="234"/>
      <c r="T31" s="234"/>
      <c r="U31" s="234"/>
      <c r="V31" s="234"/>
      <c r="W31" s="234"/>
      <c r="X31" s="234"/>
      <c r="Y31" s="234"/>
      <c r="Z31" s="109"/>
      <c r="AE31" s="234"/>
      <c r="AF31" s="234"/>
      <c r="AG31" s="234"/>
      <c r="AH31" s="234"/>
      <c r="AI31" s="234"/>
      <c r="AJ31" s="234"/>
      <c r="AK31" s="234"/>
      <c r="AL31" s="234"/>
      <c r="AM31" s="234"/>
      <c r="AN31" s="234"/>
      <c r="AO31" s="109"/>
    </row>
    <row r="32" spans="1:42" ht="26.25" customHeight="1" x14ac:dyDescent="0.3">
      <c r="A32" s="241" t="s">
        <v>203</v>
      </c>
      <c r="B32" s="240"/>
      <c r="C32" s="240"/>
      <c r="D32" s="240"/>
      <c r="E32" s="240"/>
      <c r="F32" s="240"/>
      <c r="G32" s="240"/>
      <c r="H32" s="240"/>
      <c r="I32" s="240"/>
      <c r="J32" s="240"/>
      <c r="K32" s="192"/>
      <c r="L32" s="121" t="str">
        <f>IF(COUNT(G11:G27)=0,"",IF(COUNTA(G17:G18)&gt;1,"X","O"))</f>
        <v/>
      </c>
      <c r="P32" s="234"/>
      <c r="Q32" s="234"/>
      <c r="R32" s="234"/>
      <c r="S32" s="234"/>
      <c r="T32" s="234"/>
      <c r="U32" s="234"/>
      <c r="V32" s="234"/>
      <c r="W32" s="234"/>
      <c r="X32" s="234"/>
      <c r="Y32" s="234"/>
      <c r="Z32" s="109"/>
      <c r="AE32" s="234"/>
      <c r="AF32" s="234"/>
      <c r="AG32" s="234"/>
      <c r="AH32" s="234"/>
      <c r="AI32" s="234"/>
      <c r="AJ32" s="234"/>
      <c r="AK32" s="234"/>
      <c r="AL32" s="234"/>
      <c r="AM32" s="234"/>
      <c r="AN32" s="234"/>
      <c r="AO32" s="109"/>
    </row>
    <row r="33" spans="1:41" ht="26.25" customHeight="1" x14ac:dyDescent="0.3">
      <c r="A33" s="240" t="s">
        <v>157</v>
      </c>
      <c r="B33" s="240"/>
      <c r="C33" s="240"/>
      <c r="D33" s="240"/>
      <c r="E33" s="240"/>
      <c r="F33" s="240"/>
      <c r="G33" s="240"/>
      <c r="H33" s="240"/>
      <c r="I33" s="240"/>
      <c r="J33" s="240"/>
      <c r="K33" s="192"/>
      <c r="L33" s="121" t="s">
        <v>174</v>
      </c>
      <c r="P33" s="234"/>
      <c r="Q33" s="234"/>
      <c r="R33" s="234"/>
      <c r="S33" s="234"/>
      <c r="T33" s="234"/>
      <c r="U33" s="234"/>
      <c r="V33" s="234"/>
      <c r="W33" s="234"/>
      <c r="X33" s="234"/>
      <c r="Y33" s="234"/>
      <c r="Z33" s="109"/>
      <c r="AE33" s="234"/>
      <c r="AF33" s="234"/>
      <c r="AG33" s="234"/>
      <c r="AH33" s="234"/>
      <c r="AI33" s="234"/>
      <c r="AJ33" s="234"/>
      <c r="AK33" s="234"/>
      <c r="AL33" s="234"/>
      <c r="AM33" s="234"/>
      <c r="AN33" s="234"/>
      <c r="AO33" s="109"/>
    </row>
    <row r="34" spans="1:41" ht="26.25" customHeight="1" thickBot="1" x14ac:dyDescent="0.35">
      <c r="A34" s="240" t="s">
        <v>169</v>
      </c>
      <c r="B34" s="240"/>
      <c r="C34" s="240"/>
      <c r="D34" s="240"/>
      <c r="E34" s="240"/>
      <c r="F34" s="240"/>
      <c r="G34" s="240"/>
      <c r="H34" s="240"/>
      <c r="I34" s="240"/>
      <c r="J34" s="240"/>
      <c r="K34" s="192"/>
      <c r="L34" s="122" t="str">
        <f>IF(COUNTA(G10:G26)=0,"",IF(IFERROR(K16/F16,0)+IFERROR(K17/F17,0)+IFERROR(K18/F18,0)+IFERROR(K19/F19,0)+IFERROR(K20/F20,0)+IFERROR(K21/F21,0)&gt;2,"X","O"))</f>
        <v/>
      </c>
      <c r="P34" s="234"/>
      <c r="Q34" s="234"/>
      <c r="R34" s="234"/>
      <c r="S34" s="234"/>
      <c r="T34" s="234"/>
      <c r="U34" s="234"/>
      <c r="V34" s="234"/>
      <c r="W34" s="234"/>
      <c r="X34" s="234"/>
      <c r="Y34" s="234"/>
      <c r="Z34" s="109"/>
      <c r="AE34" s="234"/>
      <c r="AF34" s="234"/>
      <c r="AG34" s="234"/>
      <c r="AH34" s="234"/>
      <c r="AI34" s="234"/>
      <c r="AJ34" s="234"/>
      <c r="AK34" s="234"/>
      <c r="AL34" s="234"/>
      <c r="AM34" s="234"/>
      <c r="AN34" s="234"/>
      <c r="AO34" s="109"/>
    </row>
    <row r="35" spans="1:41" ht="24.95" customHeight="1" thickTop="1" x14ac:dyDescent="0.3">
      <c r="A35" s="126"/>
      <c r="B35" s="126"/>
      <c r="C35" s="126"/>
      <c r="D35" s="126"/>
      <c r="E35" s="126"/>
      <c r="F35" s="126"/>
      <c r="G35" s="126"/>
      <c r="H35" s="126"/>
      <c r="I35" s="126"/>
      <c r="J35" s="126"/>
      <c r="K35" s="109"/>
      <c r="P35" s="234"/>
      <c r="Q35" s="234"/>
      <c r="R35" s="234"/>
      <c r="S35" s="234"/>
      <c r="T35" s="234"/>
      <c r="U35" s="234"/>
      <c r="V35" s="234"/>
      <c r="W35" s="234"/>
      <c r="X35" s="234"/>
      <c r="Y35" s="234"/>
      <c r="Z35" s="109"/>
      <c r="AE35" s="234"/>
      <c r="AF35" s="234"/>
      <c r="AG35" s="234"/>
      <c r="AH35" s="234"/>
      <c r="AI35" s="234"/>
      <c r="AJ35" s="234"/>
      <c r="AK35" s="234"/>
      <c r="AL35" s="234"/>
      <c r="AM35" s="234"/>
      <c r="AN35" s="234"/>
      <c r="AO35" s="109"/>
    </row>
    <row r="36" spans="1:41" ht="20.100000000000001" customHeight="1" x14ac:dyDescent="0.3">
      <c r="A36" s="41"/>
      <c r="B36" s="45"/>
      <c r="C36" s="41"/>
      <c r="D36" s="41"/>
      <c r="E36" s="41"/>
      <c r="F36" s="41"/>
      <c r="G36" s="126"/>
      <c r="H36" s="45"/>
      <c r="I36" s="45"/>
      <c r="J36" s="45"/>
      <c r="K36" s="45"/>
      <c r="P36" s="41"/>
      <c r="Q36" s="45"/>
      <c r="R36" s="41"/>
      <c r="S36" s="41"/>
      <c r="T36" s="41"/>
      <c r="U36" s="41"/>
      <c r="V36" s="45"/>
      <c r="W36" s="45"/>
      <c r="X36" s="45"/>
      <c r="Y36" s="45"/>
      <c r="Z36" s="45"/>
      <c r="AE36" s="41"/>
      <c r="AF36" s="45"/>
      <c r="AG36" s="41"/>
      <c r="AH36" s="41"/>
      <c r="AI36" s="41"/>
      <c r="AJ36" s="41"/>
      <c r="AK36" s="45"/>
      <c r="AL36" s="45"/>
      <c r="AM36" s="45"/>
      <c r="AN36" s="45"/>
      <c r="AO36" s="45"/>
    </row>
    <row r="37" spans="1:41" ht="20.100000000000001" customHeight="1" x14ac:dyDescent="0.3">
      <c r="A37" s="108"/>
      <c r="B37" s="45"/>
      <c r="C37" s="41"/>
      <c r="D37" s="41"/>
      <c r="E37" s="41"/>
      <c r="F37" s="41"/>
      <c r="G37" s="126"/>
      <c r="H37" s="45"/>
      <c r="I37" s="45"/>
      <c r="J37" s="45"/>
      <c r="K37" s="45"/>
      <c r="P37" s="108"/>
      <c r="Q37" s="45"/>
      <c r="R37" s="41"/>
      <c r="S37" s="41"/>
      <c r="T37" s="41"/>
      <c r="U37" s="41"/>
      <c r="V37" s="45"/>
      <c r="W37" s="45"/>
      <c r="X37" s="45"/>
      <c r="Y37" s="45"/>
      <c r="Z37" s="45"/>
      <c r="AE37" s="108"/>
      <c r="AF37" s="45"/>
      <c r="AG37" s="41"/>
      <c r="AH37" s="41"/>
      <c r="AI37" s="41"/>
      <c r="AJ37" s="41"/>
      <c r="AK37" s="45"/>
      <c r="AL37" s="45"/>
      <c r="AM37" s="45"/>
      <c r="AN37" s="45"/>
      <c r="AO37" s="45"/>
    </row>
    <row r="38" spans="1:41" ht="20.100000000000001" customHeight="1" x14ac:dyDescent="0.3">
      <c r="A38" s="41"/>
      <c r="B38" s="45"/>
      <c r="C38" s="41"/>
      <c r="D38" s="41"/>
      <c r="E38" s="41"/>
      <c r="F38" s="41"/>
      <c r="G38" s="126"/>
      <c r="H38" s="45"/>
      <c r="I38" s="45"/>
      <c r="J38" s="45"/>
      <c r="K38" s="45"/>
      <c r="P38" s="41"/>
      <c r="Q38" s="45"/>
      <c r="R38" s="41"/>
      <c r="S38" s="41"/>
      <c r="T38" s="41"/>
      <c r="U38" s="41"/>
      <c r="V38" s="45"/>
      <c r="W38" s="45"/>
      <c r="X38" s="45"/>
      <c r="Y38" s="45"/>
      <c r="Z38" s="45"/>
      <c r="AE38" s="41"/>
      <c r="AF38" s="45"/>
      <c r="AG38" s="41"/>
      <c r="AH38" s="41"/>
      <c r="AI38" s="41"/>
      <c r="AJ38" s="41"/>
      <c r="AK38" s="45"/>
      <c r="AL38" s="45"/>
      <c r="AM38" s="45"/>
      <c r="AN38" s="45"/>
      <c r="AO38" s="45"/>
    </row>
    <row r="39" spans="1:41" ht="20.100000000000001" customHeight="1" x14ac:dyDescent="0.3">
      <c r="A39" s="37"/>
      <c r="B39" s="45"/>
      <c r="C39" s="41"/>
      <c r="D39" s="41"/>
      <c r="E39" s="41"/>
      <c r="F39" s="41"/>
      <c r="G39" s="126"/>
      <c r="H39" s="45"/>
      <c r="I39" s="45"/>
      <c r="J39" s="45"/>
      <c r="K39" s="45"/>
      <c r="P39" s="37"/>
      <c r="Q39" s="45"/>
      <c r="R39" s="41"/>
      <c r="S39" s="41"/>
      <c r="T39" s="41"/>
      <c r="U39" s="41"/>
      <c r="V39" s="45"/>
      <c r="W39" s="45"/>
      <c r="X39" s="45"/>
      <c r="Y39" s="45"/>
      <c r="Z39" s="45"/>
      <c r="AE39" s="37"/>
      <c r="AF39" s="45"/>
      <c r="AG39" s="41"/>
      <c r="AH39" s="41"/>
      <c r="AI39" s="41"/>
      <c r="AJ39" s="41"/>
      <c r="AK39" s="45"/>
      <c r="AL39" s="45"/>
      <c r="AM39" s="45"/>
      <c r="AN39" s="45"/>
      <c r="AO39" s="45"/>
    </row>
    <row r="40" spans="1:41" ht="20.100000000000001" customHeight="1" x14ac:dyDescent="0.3">
      <c r="A40" s="41"/>
      <c r="B40" s="45"/>
      <c r="C40" s="41"/>
      <c r="D40" s="41"/>
      <c r="E40" s="41"/>
      <c r="F40" s="41"/>
      <c r="G40" s="126"/>
      <c r="H40" s="45"/>
      <c r="I40" s="45"/>
      <c r="J40" s="45"/>
      <c r="K40" s="45"/>
      <c r="P40" s="41"/>
      <c r="Q40" s="45"/>
      <c r="R40" s="41"/>
      <c r="S40" s="41"/>
      <c r="T40" s="41"/>
      <c r="U40" s="41"/>
      <c r="V40" s="45"/>
      <c r="W40" s="45"/>
      <c r="X40" s="45"/>
      <c r="Y40" s="45"/>
      <c r="Z40" s="45"/>
      <c r="AE40" s="41"/>
      <c r="AF40" s="45"/>
      <c r="AG40" s="41"/>
      <c r="AH40" s="41"/>
      <c r="AI40" s="41"/>
      <c r="AJ40" s="41"/>
      <c r="AK40" s="45"/>
      <c r="AL40" s="45"/>
      <c r="AM40" s="45"/>
      <c r="AN40" s="45"/>
      <c r="AO40" s="45"/>
    </row>
  </sheetData>
  <mergeCells count="72">
    <mergeCell ref="A32:K32"/>
    <mergeCell ref="P32:Y32"/>
    <mergeCell ref="AE32:AN32"/>
    <mergeCell ref="AE16:AE18"/>
    <mergeCell ref="A16:A18"/>
    <mergeCell ref="P16:P18"/>
    <mergeCell ref="AG10:AG26"/>
    <mergeCell ref="AE25:AE26"/>
    <mergeCell ref="AE28:AN28"/>
    <mergeCell ref="AE29:AN29"/>
    <mergeCell ref="AE30:AN30"/>
    <mergeCell ref="AE31:AN31"/>
    <mergeCell ref="A23:A24"/>
    <mergeCell ref="A19:A21"/>
    <mergeCell ref="A25:A26"/>
    <mergeCell ref="A10:A14"/>
    <mergeCell ref="AE33:AN33"/>
    <mergeCell ref="P19:P21"/>
    <mergeCell ref="P23:P24"/>
    <mergeCell ref="P25:P26"/>
    <mergeCell ref="P28:Y28"/>
    <mergeCell ref="P29:Y29"/>
    <mergeCell ref="P30:Y30"/>
    <mergeCell ref="P31:Y31"/>
    <mergeCell ref="P33:Y33"/>
    <mergeCell ref="AP8:AP9"/>
    <mergeCell ref="L8:L9"/>
    <mergeCell ref="C10:C26"/>
    <mergeCell ref="AE35:AN35"/>
    <mergeCell ref="A28:K28"/>
    <mergeCell ref="A29:K29"/>
    <mergeCell ref="A30:K30"/>
    <mergeCell ref="A31:K31"/>
    <mergeCell ref="A33:K33"/>
    <mergeCell ref="A34:K34"/>
    <mergeCell ref="AL8:AO8"/>
    <mergeCell ref="AE10:AE14"/>
    <mergeCell ref="AE19:AE21"/>
    <mergeCell ref="AE23:AE24"/>
    <mergeCell ref="P35:Y35"/>
    <mergeCell ref="AE34:AN34"/>
    <mergeCell ref="AF3:AF5"/>
    <mergeCell ref="AG5:AK5"/>
    <mergeCell ref="AE7:AF7"/>
    <mergeCell ref="AG7:AH7"/>
    <mergeCell ref="AE8:AE9"/>
    <mergeCell ref="AF8:AF9"/>
    <mergeCell ref="AG8:AJ8"/>
    <mergeCell ref="AK8:AK9"/>
    <mergeCell ref="P34:Y34"/>
    <mergeCell ref="P7:Q7"/>
    <mergeCell ref="Q3:Q5"/>
    <mergeCell ref="R5:V5"/>
    <mergeCell ref="R7:S7"/>
    <mergeCell ref="P8:P9"/>
    <mergeCell ref="Q8:Q9"/>
    <mergeCell ref="R8:U8"/>
    <mergeCell ref="V8:V9"/>
    <mergeCell ref="G1:M1"/>
    <mergeCell ref="B3:B5"/>
    <mergeCell ref="C5:G5"/>
    <mergeCell ref="A7:B7"/>
    <mergeCell ref="C7:D7"/>
    <mergeCell ref="AA8:AA9"/>
    <mergeCell ref="A8:A9"/>
    <mergeCell ref="R10:R26"/>
    <mergeCell ref="B8:B9"/>
    <mergeCell ref="C8:F8"/>
    <mergeCell ref="W8:Z8"/>
    <mergeCell ref="P10:P14"/>
    <mergeCell ref="G8:G9"/>
    <mergeCell ref="H8:K8"/>
  </mergeCells>
  <phoneticPr fontId="3" type="noConversion"/>
  <conditionalFormatting sqref="L10:L27">
    <cfRule type="containsText" dxfId="5" priority="8" operator="containsText" text="X">
      <formula>NOT(ISERROR(SEARCH("X",L10)))</formula>
    </cfRule>
  </conditionalFormatting>
  <conditionalFormatting sqref="L29:L41">
    <cfRule type="containsText" dxfId="4" priority="3" operator="containsText" text="X">
      <formula>NOT(ISERROR(SEARCH("X",L29)))</formula>
    </cfRule>
  </conditionalFormatting>
  <conditionalFormatting sqref="AA10:AA27">
    <cfRule type="containsText" dxfId="3" priority="5" operator="containsText" text="X">
      <formula>NOT(ISERROR(SEARCH("X",AA10)))</formula>
    </cfRule>
  </conditionalFormatting>
  <conditionalFormatting sqref="AA29:AA41">
    <cfRule type="containsText" dxfId="2" priority="2" operator="containsText" text="X">
      <formula>NOT(ISERROR(SEARCH("X",AA29)))</formula>
    </cfRule>
  </conditionalFormatting>
  <conditionalFormatting sqref="AP10:AP27">
    <cfRule type="containsText" dxfId="1" priority="4" operator="containsText" text="X">
      <formula>NOT(ISERROR(SEARCH("X",AP10)))</formula>
    </cfRule>
  </conditionalFormatting>
  <conditionalFormatting sqref="AP29:AP41">
    <cfRule type="containsText" dxfId="0" priority="1" operator="containsText" text="X">
      <formula>NOT(ISERROR(SEARCH("X",AP29)))</formula>
    </cfRule>
  </conditionalFormatting>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기본</vt:lpstr>
      <vt:lpstr>진통제(확인완료)</vt:lpstr>
      <vt:lpstr>감기약(확인완료)</vt:lpstr>
      <vt:lpstr>진해거담제</vt:lpstr>
      <vt:lpstr>비염용경구제(확인완료)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09-D3217</dc:creator>
  <cp:lastModifiedBy>Hee Jeong, Jang</cp:lastModifiedBy>
  <dcterms:created xsi:type="dcterms:W3CDTF">2020-02-26T05:22:36Z</dcterms:created>
  <dcterms:modified xsi:type="dcterms:W3CDTF">2026-05-13T02:34:25Z</dcterms:modified>
</cp:coreProperties>
</file>